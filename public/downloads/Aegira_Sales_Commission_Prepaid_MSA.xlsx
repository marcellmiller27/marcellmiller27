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Upfront Commission (15%)" sheetId="2" state="visible" r:id="rId2"/>
    <sheet xmlns:r="http://schemas.openxmlformats.org/officeDocument/2006/relationships" name="Year-End MSA Bonus" sheetId="3" state="visible" r:id="rId3"/>
    <sheet xmlns:r="http://schemas.openxmlformats.org/officeDocument/2006/relationships" name="Full Forecast P&amp;L" sheetId="4" state="visible" r:id="rId4"/>
    <sheet xmlns:r="http://schemas.openxmlformats.org/officeDocument/2006/relationships" name="Monthly (Bookings)" sheetId="5" state="visible" r:id="rId5"/>
    <sheet xmlns:r="http://schemas.openxmlformats.org/officeDocument/2006/relationships" name="Monthly (Accrual)" sheetId="6" state="visible" r:id="rId6"/>
    <sheet xmlns:r="http://schemas.openxmlformats.org/officeDocument/2006/relationships" name="Salesperson Total Comp" sheetId="7" state="visible" r:id="rId7"/>
    <sheet xmlns:r="http://schemas.openxmlformats.org/officeDocument/2006/relationships" name="Legal &amp; Proven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&quot;$&quot;#,##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C1F33"/>
      <sz val="13"/>
    </font>
    <font>
      <i val="1"/>
      <color rgb="005A6B7D"/>
      <sz val="9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0C1F33"/>
      </patternFill>
    </fill>
    <fill>
      <patternFill patternType="solid">
        <fgColor rgb="00FFF6D5"/>
      </patternFill>
    </fill>
    <fill>
      <patternFill patternType="solid">
        <fgColor rgb="00EAEFF6"/>
      </patternFill>
    </fill>
    <fill>
      <patternFill patternType="solid">
        <fgColor rgb="00E4F3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4" fillId="4" borderId="0" pivotButton="0" quotePrefix="0" xfId="0"/>
    <xf numFmtId="3" fontId="0" fillId="0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5" fontId="0" fillId="3" borderId="0" pivotButton="0" quotePrefix="0" xfId="0"/>
    <xf numFmtId="0" fontId="1" fillId="2" borderId="0" applyAlignment="1" pivotButton="0" quotePrefix="0" xfId="0">
      <alignment horizontal="right"/>
    </xf>
    <xf numFmtId="165" fontId="4" fillId="5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5" fontId="4" fillId="4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6" customWidth="1" min="3" max="3"/>
  </cols>
  <sheetData>
    <row r="1">
      <c r="A1" s="1" t="inlineStr">
        <is>
          <t>JHI Research &amp; Analytics Firm, Inc.</t>
        </is>
      </c>
    </row>
    <row r="2">
      <c r="A2" s="2" t="inlineStr">
        <is>
          <t>Prepaid-MSA Sales Commission — assumptions</t>
        </is>
      </c>
    </row>
    <row r="3">
      <c r="A3" s="3" t="inlineStr">
        <is>
          <t>generated 2026-07-30  ·  JHI-SIG: 69M2705M</t>
        </is>
      </c>
    </row>
    <row r="5">
      <c r="A5" s="4" t="inlineStr">
        <is>
          <t>Tier 1 price ($/mo)</t>
        </is>
      </c>
      <c r="B5" s="5" t="n">
        <v>1500</v>
      </c>
      <c r="C5" s="3" t="inlineStr">
        <is>
          <t>Enterprise / Family Office</t>
        </is>
      </c>
    </row>
    <row r="6">
      <c r="A6" s="4" t="inlineStr">
        <is>
          <t>Tier 2 price ($/mo)</t>
        </is>
      </c>
      <c r="B6" s="5" t="n">
        <v>299</v>
      </c>
      <c r="C6" s="3" t="inlineStr">
        <is>
          <t>Professional</t>
        </is>
      </c>
    </row>
    <row r="7">
      <c r="A7" s="4" t="inlineStr">
        <is>
          <t>Tier 1 mix (% of closes)</t>
        </is>
      </c>
      <c r="B7" s="6" t="n">
        <v>10</v>
      </c>
      <c r="C7" s="3" t="inlineStr">
        <is>
          <t>Share of closes that are Tier 1</t>
        </is>
      </c>
    </row>
    <row r="8">
      <c r="A8" s="4" t="inlineStr">
        <is>
          <t>Closes per month</t>
        </is>
      </c>
      <c r="B8" s="5" t="n">
        <v>100</v>
      </c>
      <c r="C8" s="3" t="inlineStr">
        <is>
          <t>New full-paid subs signed each month</t>
        </is>
      </c>
    </row>
    <row r="9">
      <c r="A9" s="4" t="inlineStr">
        <is>
          <t>Annual prepay discount (%)</t>
        </is>
      </c>
      <c r="B9" s="6" t="n">
        <v>10</v>
      </c>
      <c r="C9" s="3" t="inlineStr">
        <is>
          <t>Discount for paying 12 months up front</t>
        </is>
      </c>
    </row>
    <row r="10">
      <c r="A10" s="4" t="inlineStr">
        <is>
          <t>Upfront commission rate (%)</t>
        </is>
      </c>
      <c r="B10" s="6" t="n">
        <v>15</v>
      </c>
      <c r="C10" s="3" t="inlineStr">
        <is>
          <t>Rep % of full-paid (net) contract value, at signing</t>
        </is>
      </c>
    </row>
    <row r="11">
      <c r="A11" s="4" t="inlineStr">
        <is>
          <t>MSA completion / renewal rate (%)</t>
        </is>
      </c>
      <c r="B11" s="6" t="n">
        <v>90</v>
      </c>
      <c r="C11" s="3" t="inlineStr">
        <is>
          <t>Share of contracts that complete the full 12-mo MSA</t>
        </is>
      </c>
    </row>
    <row r="12">
      <c r="A12" s="4" t="inlineStr">
        <is>
          <t>Year-end MSA-completion bonus rate (%)</t>
        </is>
      </c>
      <c r="B12" s="6" t="n">
        <v>5</v>
      </c>
      <c r="C12" s="3" t="inlineStr">
        <is>
          <t>Rep bonus % of completed-contract value, paid at year-end</t>
        </is>
      </c>
    </row>
    <row r="14">
      <c r="A14" s="7" t="inlineStr">
        <is>
          <t>DERIVED</t>
        </is>
      </c>
    </row>
    <row r="15">
      <c r="A15" s="4" t="inlineStr">
        <is>
          <t>Subscriptions per year</t>
        </is>
      </c>
      <c r="B15" s="8">
        <f>B8*12</f>
        <v/>
      </c>
      <c r="C15" s="3" t="inlineStr">
        <is>
          <t>Closes/mo × 12 (e.g. 100 → 1,200)</t>
        </is>
      </c>
    </row>
    <row r="16">
      <c r="A16" s="4" t="inlineStr">
        <is>
          <t>Avg full-paid price / sub (net, annual)</t>
        </is>
      </c>
      <c r="B16" s="9">
        <f>((B5*B7/100)+(B6*(1-B7/100)))*12*(1-B9/100)</f>
        <v/>
      </c>
      <c r="C16" s="3" t="inlineStr">
        <is>
          <t>Blended monthly price × 12 × (1 − prepay discount)</t>
        </is>
      </c>
    </row>
    <row r="17">
      <c r="A17" s="4" t="inlineStr">
        <is>
          <t>Total prepaid annual revenue (net)</t>
        </is>
      </c>
      <c r="B17" s="10">
        <f>B15*B16</f>
        <v/>
      </c>
    </row>
    <row r="19">
      <c r="A19" s="7" t="inlineStr">
        <is>
          <t>OPERATING ASSUMPTIONS (editable)</t>
        </is>
      </c>
    </row>
    <row r="20">
      <c r="A20" s="4" t="inlineStr">
        <is>
          <t>Payment processing (% of revenue)</t>
        </is>
      </c>
      <c r="B20" s="6" t="n">
        <v>3</v>
      </c>
    </row>
    <row r="21">
      <c r="A21" s="4" t="inlineStr">
        <is>
          <t>Infra / support (% of revenue)</t>
        </is>
      </c>
      <c r="B21" s="6" t="n">
        <v>2</v>
      </c>
    </row>
    <row r="22">
      <c r="A22" s="4" t="inlineStr">
        <is>
          <t>Data license — SF1 ($/yr, fixed)</t>
        </is>
      </c>
      <c r="B22" s="11" t="n">
        <v>18000</v>
      </c>
    </row>
    <row r="23">
      <c r="A23" s="4" t="inlineStr">
        <is>
          <t>Marketing ($/yr)</t>
        </is>
      </c>
      <c r="B23" s="11" t="n">
        <v>36000</v>
      </c>
    </row>
    <row r="24">
      <c r="A24" s="4" t="inlineStr">
        <is>
          <t>Legal &amp; accounting ($/yr)</t>
        </is>
      </c>
      <c r="B24" s="11" t="n">
        <v>18000</v>
      </c>
    </row>
    <row r="25">
      <c r="A25" s="4" t="inlineStr">
        <is>
          <t>Software &amp; AI tools ($/yr)</t>
        </is>
      </c>
      <c r="B25" s="11" t="n">
        <v>12000</v>
      </c>
    </row>
    <row r="26">
      <c r="A26" s="4" t="inlineStr">
        <is>
          <t>Founder / ops comp ($/yr)</t>
        </is>
      </c>
      <c r="B26" s="11" t="n">
        <v>60000</v>
      </c>
    </row>
  </sheetData>
  <mergeCells count="3">
    <mergeCell ref="A1:C1"/>
    <mergeCell ref="A3:C3"/>
    <mergeCell ref="A2:C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JHI Research &amp; Analytics Firm, Inc.</t>
        </is>
      </c>
    </row>
    <row r="2">
      <c r="A2" s="2" t="inlineStr">
        <is>
          <t>Upfront commission — 15% of full-paid (net) contract value</t>
        </is>
      </c>
    </row>
    <row r="3">
      <c r="A3" s="3" t="inlineStr">
        <is>
          <t>generated 2026-07-30  ·  JHI-SIG: 69M2705M</t>
        </is>
      </c>
    </row>
    <row r="4">
      <c r="A4" s="3" t="inlineStr">
        <is>
          <t>Contracts are prepaid annual (12-mo MSA). Rep earns the upfront commission at signing on the net (post-discount) contract value. Pay on collected cash.</t>
        </is>
      </c>
    </row>
    <row r="5">
      <c r="A5" s="1" t="inlineStr"/>
      <c r="B5" s="12" t="inlineStr">
        <is>
          <t>Tier 1</t>
        </is>
      </c>
      <c r="C5" s="12" t="inlineStr">
        <is>
          <t>Tier 2</t>
        </is>
      </c>
      <c r="D5" s="12" t="inlineStr">
        <is>
          <t>Total</t>
        </is>
      </c>
    </row>
    <row r="6">
      <c r="A6" t="inlineStr">
        <is>
          <t>Subscriptions / year</t>
        </is>
      </c>
      <c r="B6" s="8">
        <f>Assumptions!$B$15*Assumptions!$B$7/100</f>
        <v/>
      </c>
      <c r="C6" s="8">
        <f>Assumptions!$B$15*(1-Assumptions!$B$7/100)</f>
        <v/>
      </c>
      <c r="D6" s="8">
        <f>B6+C6</f>
        <v/>
      </c>
    </row>
    <row r="7">
      <c r="A7" t="inlineStr">
        <is>
          <t>Full-paid price / sub (net, annual)</t>
        </is>
      </c>
      <c r="B7" s="9">
        <f>Assumptions!$B$5*12*(1-Assumptions!$B$9/100)</f>
        <v/>
      </c>
      <c r="C7" s="9">
        <f>Assumptions!$B$6*12*(1-Assumptions!$B$9/100)</f>
        <v/>
      </c>
    </row>
    <row r="8">
      <c r="A8" s="4" t="inlineStr">
        <is>
          <t>Prepaid annual revenue (net)</t>
        </is>
      </c>
      <c r="B8" s="9">
        <f>B6*B7</f>
        <v/>
      </c>
      <c r="C8" s="9">
        <f>C6*C7</f>
        <v/>
      </c>
      <c r="D8" s="9">
        <f>B8+C8</f>
        <v/>
      </c>
    </row>
    <row r="9">
      <c r="A9" t="inlineStr">
        <is>
          <t>Upfront commission / sub (15%)</t>
        </is>
      </c>
      <c r="B9" s="9">
        <f>B7*Assumptions!$B$10/100</f>
        <v/>
      </c>
      <c r="C9" s="9">
        <f>C7*Assumptions!$B$10/100</f>
        <v/>
      </c>
    </row>
    <row r="10">
      <c r="A10" s="4" t="inlineStr">
        <is>
          <t>Upfront commission (total)</t>
        </is>
      </c>
      <c r="B10" s="13">
        <f>B8*Assumptions!$B$10/100</f>
        <v/>
      </c>
      <c r="C10" s="13">
        <f>C8*Assumptions!$B$10/100</f>
        <v/>
      </c>
      <c r="D10" s="13">
        <f>B10+C10</f>
        <v/>
      </c>
    </row>
    <row r="13">
      <c r="A13" s="3" t="inlineStr">
        <is>
          <t>Cash-flow note: 15% paid UP FRONT on the full annual contract is front-loaded vs. a monthly residual — model the cash outlay at signing.</t>
        </is>
      </c>
    </row>
  </sheetData>
  <mergeCells count="3">
    <mergeCell ref="A1:D1"/>
    <mergeCell ref="A3:D3"/>
    <mergeCell ref="A2:D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44" customWidth="1" min="3" max="3"/>
  </cols>
  <sheetData>
    <row r="1">
      <c r="A1" s="1" t="inlineStr">
        <is>
          <t>JHI Research &amp; Analytics Firm, Inc.</t>
        </is>
      </c>
    </row>
    <row r="2">
      <c r="A2" s="2" t="inlineStr">
        <is>
          <t>Year-end MSA-completion bonus</t>
        </is>
      </c>
    </row>
    <row r="3">
      <c r="A3" s="3" t="inlineStr">
        <is>
          <t>generated 2026-07-30  ·  JHI-SIG: 69M2705M</t>
        </is>
      </c>
    </row>
    <row r="4">
      <c r="A4" s="3" t="inlineStr">
        <is>
          <t>Additional bonus rewarding contracts that COMPLETE the full 12-month MSA term (retention). Paid at year-end on completed-contract value.</t>
        </is>
      </c>
    </row>
    <row r="5">
      <c r="A5" t="inlineStr">
        <is>
          <t>Subscriptions / year (signed)</t>
        </is>
      </c>
      <c r="B5" s="8">
        <f>Assumptions!$B$15</f>
        <v/>
      </c>
      <c r="C5" s="3" t="inlineStr">
        <is>
          <t>From Assumptions (closes/mo × 12)</t>
        </is>
      </c>
    </row>
    <row r="6">
      <c r="A6" t="inlineStr">
        <is>
          <t>MSA completion / renewal rate</t>
        </is>
      </c>
      <c r="B6" s="14">
        <f>Assumptions!$B$11/100</f>
        <v/>
      </c>
      <c r="C6" s="3" t="inlineStr">
        <is>
          <t>Share completing the full 12-mo term</t>
        </is>
      </c>
    </row>
    <row r="7">
      <c r="A7" t="inlineStr">
        <is>
          <t>Contracts completing full 12-mo MSA</t>
        </is>
      </c>
      <c r="B7" s="8">
        <f>B5*B6</f>
        <v/>
      </c>
      <c r="C7" s="3" t="inlineStr">
        <is>
          <t>Signed × completion rate</t>
        </is>
      </c>
    </row>
    <row r="8">
      <c r="A8" t="inlineStr">
        <is>
          <t>Completed-contract value (net)</t>
        </is>
      </c>
      <c r="B8" s="9">
        <f>Assumptions!$B$17*B6</f>
        <v/>
      </c>
      <c r="C8" s="3" t="inlineStr">
        <is>
          <t>Total prepaid revenue × completion rate</t>
        </is>
      </c>
    </row>
    <row r="9">
      <c r="A9" t="inlineStr">
        <is>
          <t>Year-end bonus rate</t>
        </is>
      </c>
      <c r="B9" s="14">
        <f>Assumptions!$B$12/100</f>
        <v/>
      </c>
      <c r="C9" s="3" t="inlineStr">
        <is>
          <t>Rep % of completed-contract value</t>
        </is>
      </c>
    </row>
    <row r="10">
      <c r="A10" s="4" t="inlineStr">
        <is>
          <t>Year-end MSA-completion bonus</t>
        </is>
      </c>
      <c r="B10" s="13">
        <f>B8*B9</f>
        <v/>
      </c>
      <c r="C10" s="3" t="inlineStr">
        <is>
          <t>Completed value × bonus rate</t>
        </is>
      </c>
    </row>
  </sheetData>
  <mergeCells count="3">
    <mergeCell ref="A1:C1"/>
    <mergeCell ref="A3:C3"/>
    <mergeCell ref="A2:C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4" customWidth="1" min="3" max="3"/>
  </cols>
  <sheetData>
    <row r="1">
      <c r="A1" s="1" t="inlineStr">
        <is>
          <t>JHI Research &amp; Analytics Firm, Inc.</t>
        </is>
      </c>
    </row>
    <row r="2">
      <c r="A2" s="2" t="inlineStr">
        <is>
          <t>Full-year forecast P&amp;L — all expenditures included</t>
        </is>
      </c>
    </row>
    <row r="3">
      <c r="A3" s="3" t="inlineStr">
        <is>
          <t>generated 2026-07-30  ·  JHI-SIG: 69M2705M</t>
        </is>
      </c>
    </row>
    <row r="4">
      <c r="A4" s="3" t="inlineStr">
        <is>
          <t>1,200 prepaid annual subs (editable). Includes COGS + upfront 15% commission + year-end MSA bonus + all operating costs. Illustrative internal model.</t>
        </is>
      </c>
    </row>
    <row r="5">
      <c r="A5" s="4" t="inlineStr">
        <is>
          <t>Revenue (prepaid annual, net)</t>
        </is>
      </c>
      <c r="B5" s="15">
        <f>Assumptions!$B$17</f>
        <v/>
      </c>
    </row>
    <row r="6">
      <c r="A6" t="inlineStr">
        <is>
          <t xml:space="preserve">  Payment processing</t>
        </is>
      </c>
      <c r="B6" s="9">
        <f>-B5*Assumptions!$B$20/100</f>
        <v/>
      </c>
    </row>
    <row r="7">
      <c r="A7" t="inlineStr">
        <is>
          <t xml:space="preserve">  Infrastructure &amp; support</t>
        </is>
      </c>
      <c r="B7" s="9">
        <f>-B5*Assumptions!$B$21/100</f>
        <v/>
      </c>
    </row>
    <row r="8">
      <c r="A8" t="inlineStr">
        <is>
          <t xml:space="preserve">  Data license (SF1)</t>
        </is>
      </c>
      <c r="B8" s="9">
        <f>-Assumptions!$B$22</f>
        <v/>
      </c>
    </row>
    <row r="9">
      <c r="A9" s="7" t="inlineStr">
        <is>
          <t>Gross profit</t>
        </is>
      </c>
      <c r="B9" s="16">
        <f>B5+SUM(B6:B8)</f>
        <v/>
      </c>
    </row>
    <row r="10">
      <c r="A10" t="inlineStr">
        <is>
          <t xml:space="preserve">  Upfront sales commission (15%)</t>
        </is>
      </c>
      <c r="B10" s="9">
        <f>-'Upfront Commission (15%)'!$D$10</f>
        <v/>
      </c>
    </row>
    <row r="11">
      <c r="A11" t="inlineStr">
        <is>
          <t xml:space="preserve">  Year-end MSA-completion bonus</t>
        </is>
      </c>
      <c r="B11" s="9">
        <f>-'Year-End MSA Bonus'!$B$10</f>
        <v/>
      </c>
    </row>
    <row r="12">
      <c r="A12" t="inlineStr">
        <is>
          <t xml:space="preserve">  Marketing</t>
        </is>
      </c>
      <c r="B12" s="9">
        <f>-Assumptions!$B$23</f>
        <v/>
      </c>
    </row>
    <row r="13">
      <c r="A13" t="inlineStr">
        <is>
          <t xml:space="preserve">  Legal &amp; accounting</t>
        </is>
      </c>
      <c r="B13" s="9">
        <f>-Assumptions!$B$24</f>
        <v/>
      </c>
    </row>
    <row r="14">
      <c r="A14" t="inlineStr">
        <is>
          <t xml:space="preserve">  Software &amp; AI tools</t>
        </is>
      </c>
      <c r="B14" s="9">
        <f>-Assumptions!$B$25</f>
        <v/>
      </c>
    </row>
    <row r="15">
      <c r="A15" t="inlineStr">
        <is>
          <t xml:space="preserve">  Founder / ops comp</t>
        </is>
      </c>
      <c r="B15" s="9">
        <f>-Assumptions!$B$26</f>
        <v/>
      </c>
    </row>
    <row r="16">
      <c r="A16" s="4" t="inlineStr">
        <is>
          <t>Total operating expenses</t>
        </is>
      </c>
      <c r="B16" s="15">
        <f>SUM(B10:B15)</f>
        <v/>
      </c>
    </row>
    <row r="17">
      <c r="A17" s="17" t="inlineStr">
        <is>
          <t>EBITDA</t>
        </is>
      </c>
      <c r="B17" s="13">
        <f>B9+B16</f>
        <v/>
      </c>
    </row>
    <row r="18">
      <c r="A18" t="inlineStr">
        <is>
          <t>EBITDA margin</t>
        </is>
      </c>
      <c r="B18" s="14">
        <f>IF(B5=0,0,B17/B5)</f>
        <v/>
      </c>
    </row>
    <row r="19">
      <c r="A19" s="4" t="inlineStr">
        <is>
          <t>Total salesperson compensation</t>
        </is>
      </c>
      <c r="B19" s="15">
        <f>'Upfront Commission (15%)'!$D$10+'Year-End MSA Bonus'!$B$10</f>
        <v/>
      </c>
    </row>
    <row r="21">
      <c r="A21" s="3" t="inlineStr">
        <is>
          <t>Reality check: 1,200 premium prepaid subs in Year 1 from one rep is an aggressive 'ceiling' scenario. Dial closes/mo down in Assumptions for a base case.</t>
        </is>
      </c>
    </row>
  </sheetData>
  <mergeCells count="3">
    <mergeCell ref="A1:C1"/>
    <mergeCell ref="A3:C3"/>
    <mergeCell ref="A2:C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</cols>
  <sheetData>
    <row r="1">
      <c r="A1" s="1" t="inlineStr">
        <is>
          <t>JHI Research &amp; Analytics Firm, Inc.</t>
        </is>
      </c>
    </row>
    <row r="2">
      <c r="A2" s="2" t="inlineStr">
        <is>
          <t>Monthly breakdown — bookings / cash basis</t>
        </is>
      </c>
    </row>
    <row r="3">
      <c r="A3" s="3" t="inlineStr">
        <is>
          <t>generated 2026-07-30  ·  JHI-SIG: 69M2705M</t>
        </is>
      </c>
    </row>
    <row r="4">
      <c r="A4" s="3" t="inlineStr">
        <is>
          <t>Each month books `closes` prepaid annual contracts: full annual value collected + 15% commission paid UP FRONT that month. Year-end MSA bonus in Mo 12. Sums to the P&amp;L.</t>
        </is>
      </c>
    </row>
    <row r="5">
      <c r="A5" s="1" t="inlineStr">
        <is>
          <t>$ per month</t>
        </is>
      </c>
      <c r="B5" s="12" t="inlineStr">
        <is>
          <t>Mo 1</t>
        </is>
      </c>
      <c r="C5" s="12" t="inlineStr">
        <is>
          <t>Mo 2</t>
        </is>
      </c>
      <c r="D5" s="12" t="inlineStr">
        <is>
          <t>Mo 3</t>
        </is>
      </c>
      <c r="E5" s="12" t="inlineStr">
        <is>
          <t>Mo 4</t>
        </is>
      </c>
      <c r="F5" s="12" t="inlineStr">
        <is>
          <t>Mo 5</t>
        </is>
      </c>
      <c r="G5" s="12" t="inlineStr">
        <is>
          <t>Mo 6</t>
        </is>
      </c>
      <c r="H5" s="12" t="inlineStr">
        <is>
          <t>Mo 7</t>
        </is>
      </c>
      <c r="I5" s="12" t="inlineStr">
        <is>
          <t>Mo 8</t>
        </is>
      </c>
      <c r="J5" s="12" t="inlineStr">
        <is>
          <t>Mo 9</t>
        </is>
      </c>
      <c r="K5" s="12" t="inlineStr">
        <is>
          <t>Mo 10</t>
        </is>
      </c>
      <c r="L5" s="12" t="inlineStr">
        <is>
          <t>Mo 11</t>
        </is>
      </c>
      <c r="M5" s="12" t="inlineStr">
        <is>
          <t>Mo 12</t>
        </is>
      </c>
      <c r="N5" s="12" t="inlineStr">
        <is>
          <t>Year 1</t>
        </is>
      </c>
    </row>
    <row r="6">
      <c r="A6" t="inlineStr">
        <is>
          <t>New subscriptions</t>
        </is>
      </c>
      <c r="B6" s="8">
        <f>Assumptions!$B$8</f>
        <v/>
      </c>
      <c r="C6" s="8">
        <f>Assumptions!$B$8</f>
        <v/>
      </c>
      <c r="D6" s="8">
        <f>Assumptions!$B$8</f>
        <v/>
      </c>
      <c r="E6" s="8">
        <f>Assumptions!$B$8</f>
        <v/>
      </c>
      <c r="F6" s="8">
        <f>Assumptions!$B$8</f>
        <v/>
      </c>
      <c r="G6" s="8">
        <f>Assumptions!$B$8</f>
        <v/>
      </c>
      <c r="H6" s="8">
        <f>Assumptions!$B$8</f>
        <v/>
      </c>
      <c r="I6" s="8">
        <f>Assumptions!$B$8</f>
        <v/>
      </c>
      <c r="J6" s="8">
        <f>Assumptions!$B$8</f>
        <v/>
      </c>
      <c r="K6" s="8">
        <f>Assumptions!$B$8</f>
        <v/>
      </c>
      <c r="L6" s="8">
        <f>Assumptions!$B$8</f>
        <v/>
      </c>
      <c r="M6" s="8">
        <f>Assumptions!$B$8</f>
        <v/>
      </c>
      <c r="N6" s="8">
        <f>SUM(B6:M6)</f>
        <v/>
      </c>
    </row>
    <row r="7">
      <c r="A7" s="4" t="inlineStr">
        <is>
          <t>Revenue (booked)</t>
        </is>
      </c>
      <c r="B7" s="15">
        <f>Assumptions!$B$8*Assumptions!$B$16</f>
        <v/>
      </c>
      <c r="C7" s="15">
        <f>Assumptions!$B$8*Assumptions!$B$16</f>
        <v/>
      </c>
      <c r="D7" s="15">
        <f>Assumptions!$B$8*Assumptions!$B$16</f>
        <v/>
      </c>
      <c r="E7" s="15">
        <f>Assumptions!$B$8*Assumptions!$B$16</f>
        <v/>
      </c>
      <c r="F7" s="15">
        <f>Assumptions!$B$8*Assumptions!$B$16</f>
        <v/>
      </c>
      <c r="G7" s="15">
        <f>Assumptions!$B$8*Assumptions!$B$16</f>
        <v/>
      </c>
      <c r="H7" s="15">
        <f>Assumptions!$B$8*Assumptions!$B$16</f>
        <v/>
      </c>
      <c r="I7" s="15">
        <f>Assumptions!$B$8*Assumptions!$B$16</f>
        <v/>
      </c>
      <c r="J7" s="15">
        <f>Assumptions!$B$8*Assumptions!$B$16</f>
        <v/>
      </c>
      <c r="K7" s="15">
        <f>Assumptions!$B$8*Assumptions!$B$16</f>
        <v/>
      </c>
      <c r="L7" s="15">
        <f>Assumptions!$B$8*Assumptions!$B$16</f>
        <v/>
      </c>
      <c r="M7" s="15">
        <f>Assumptions!$B$8*Assumptions!$B$16</f>
        <v/>
      </c>
      <c r="N7" s="15">
        <f>SUM(B7:M7)</f>
        <v/>
      </c>
    </row>
    <row r="8">
      <c r="A8" t="inlineStr">
        <is>
          <t xml:space="preserve">  Payment processing</t>
        </is>
      </c>
      <c r="B8" s="9">
        <f>B7*Assumptions!$B$20/100</f>
        <v/>
      </c>
      <c r="C8" s="9">
        <f>C7*Assumptions!$B$20/100</f>
        <v/>
      </c>
      <c r="D8" s="9">
        <f>D7*Assumptions!$B$20/100</f>
        <v/>
      </c>
      <c r="E8" s="9">
        <f>E7*Assumptions!$B$20/100</f>
        <v/>
      </c>
      <c r="F8" s="9">
        <f>F7*Assumptions!$B$20/100</f>
        <v/>
      </c>
      <c r="G8" s="9">
        <f>G7*Assumptions!$B$20/100</f>
        <v/>
      </c>
      <c r="H8" s="9">
        <f>H7*Assumptions!$B$20/100</f>
        <v/>
      </c>
      <c r="I8" s="9">
        <f>I7*Assumptions!$B$20/100</f>
        <v/>
      </c>
      <c r="J8" s="9">
        <f>J7*Assumptions!$B$20/100</f>
        <v/>
      </c>
      <c r="K8" s="9">
        <f>K7*Assumptions!$B$20/100</f>
        <v/>
      </c>
      <c r="L8" s="9">
        <f>L7*Assumptions!$B$20/100</f>
        <v/>
      </c>
      <c r="M8" s="9">
        <f>M7*Assumptions!$B$20/100</f>
        <v/>
      </c>
      <c r="N8" s="9">
        <f>SUM(B8:M8)</f>
        <v/>
      </c>
    </row>
    <row r="9">
      <c r="A9" t="inlineStr">
        <is>
          <t xml:space="preserve">  Infrastructure &amp; support</t>
        </is>
      </c>
      <c r="B9" s="9">
        <f>B7*Assumptions!$B$21/100</f>
        <v/>
      </c>
      <c r="C9" s="9">
        <f>C7*Assumptions!$B$21/100</f>
        <v/>
      </c>
      <c r="D9" s="9">
        <f>D7*Assumptions!$B$21/100</f>
        <v/>
      </c>
      <c r="E9" s="9">
        <f>E7*Assumptions!$B$21/100</f>
        <v/>
      </c>
      <c r="F9" s="9">
        <f>F7*Assumptions!$B$21/100</f>
        <v/>
      </c>
      <c r="G9" s="9">
        <f>G7*Assumptions!$B$21/100</f>
        <v/>
      </c>
      <c r="H9" s="9">
        <f>H7*Assumptions!$B$21/100</f>
        <v/>
      </c>
      <c r="I9" s="9">
        <f>I7*Assumptions!$B$21/100</f>
        <v/>
      </c>
      <c r="J9" s="9">
        <f>J7*Assumptions!$B$21/100</f>
        <v/>
      </c>
      <c r="K9" s="9">
        <f>K7*Assumptions!$B$21/100</f>
        <v/>
      </c>
      <c r="L9" s="9">
        <f>L7*Assumptions!$B$21/100</f>
        <v/>
      </c>
      <c r="M9" s="9">
        <f>M7*Assumptions!$B$21/100</f>
        <v/>
      </c>
      <c r="N9" s="9">
        <f>SUM(B9:M9)</f>
        <v/>
      </c>
    </row>
    <row r="10">
      <c r="A10" t="inlineStr">
        <is>
          <t xml:space="preserve">  Data license (SF1)</t>
        </is>
      </c>
      <c r="B10" s="9">
        <f>Assumptions!$B$22/12</f>
        <v/>
      </c>
      <c r="C10" s="9">
        <f>Assumptions!$B$22/12</f>
        <v/>
      </c>
      <c r="D10" s="9">
        <f>Assumptions!$B$22/12</f>
        <v/>
      </c>
      <c r="E10" s="9">
        <f>Assumptions!$B$22/12</f>
        <v/>
      </c>
      <c r="F10" s="9">
        <f>Assumptions!$B$22/12</f>
        <v/>
      </c>
      <c r="G10" s="9">
        <f>Assumptions!$B$22/12</f>
        <v/>
      </c>
      <c r="H10" s="9">
        <f>Assumptions!$B$22/12</f>
        <v/>
      </c>
      <c r="I10" s="9">
        <f>Assumptions!$B$22/12</f>
        <v/>
      </c>
      <c r="J10" s="9">
        <f>Assumptions!$B$22/12</f>
        <v/>
      </c>
      <c r="K10" s="9">
        <f>Assumptions!$B$22/12</f>
        <v/>
      </c>
      <c r="L10" s="9">
        <f>Assumptions!$B$22/12</f>
        <v/>
      </c>
      <c r="M10" s="9">
        <f>Assumptions!$B$22/12</f>
        <v/>
      </c>
      <c r="N10" s="9">
        <f>SUM(B10:M10)</f>
        <v/>
      </c>
    </row>
    <row r="11">
      <c r="A11" t="inlineStr">
        <is>
          <t>Total COGS</t>
        </is>
      </c>
      <c r="B11" s="9">
        <f>SUM(B8:B10)</f>
        <v/>
      </c>
      <c r="C11" s="9">
        <f>SUM(C8:C10)</f>
        <v/>
      </c>
      <c r="D11" s="9">
        <f>SUM(D8:D10)</f>
        <v/>
      </c>
      <c r="E11" s="9">
        <f>SUM(E8:E10)</f>
        <v/>
      </c>
      <c r="F11" s="9">
        <f>SUM(F8:F10)</f>
        <v/>
      </c>
      <c r="G11" s="9">
        <f>SUM(G8:G10)</f>
        <v/>
      </c>
      <c r="H11" s="9">
        <f>SUM(H8:H10)</f>
        <v/>
      </c>
      <c r="I11" s="9">
        <f>SUM(I8:I10)</f>
        <v/>
      </c>
      <c r="J11" s="9">
        <f>SUM(J8:J10)</f>
        <v/>
      </c>
      <c r="K11" s="9">
        <f>SUM(K8:K10)</f>
        <v/>
      </c>
      <c r="L11" s="9">
        <f>SUM(L8:L10)</f>
        <v/>
      </c>
      <c r="M11" s="9">
        <f>SUM(M8:M10)</f>
        <v/>
      </c>
      <c r="N11" s="9">
        <f>SUM(B11:M11)</f>
        <v/>
      </c>
    </row>
    <row r="12">
      <c r="A12" s="4" t="inlineStr">
        <is>
          <t>Gross profit</t>
        </is>
      </c>
      <c r="B12" s="15">
        <f>B7-B11</f>
        <v/>
      </c>
      <c r="C12" s="15">
        <f>C7-C11</f>
        <v/>
      </c>
      <c r="D12" s="15">
        <f>D7-D11</f>
        <v/>
      </c>
      <c r="E12" s="15">
        <f>E7-E11</f>
        <v/>
      </c>
      <c r="F12" s="15">
        <f>F7-F11</f>
        <v/>
      </c>
      <c r="G12" s="15">
        <f>G7-G11</f>
        <v/>
      </c>
      <c r="H12" s="15">
        <f>H7-H11</f>
        <v/>
      </c>
      <c r="I12" s="15">
        <f>I7-I11</f>
        <v/>
      </c>
      <c r="J12" s="15">
        <f>J7-J11</f>
        <v/>
      </c>
      <c r="K12" s="15">
        <f>K7-K11</f>
        <v/>
      </c>
      <c r="L12" s="15">
        <f>L7-L11</f>
        <v/>
      </c>
      <c r="M12" s="15">
        <f>M7-M11</f>
        <v/>
      </c>
      <c r="N12" s="15">
        <f>SUM(B12:M12)</f>
        <v/>
      </c>
    </row>
    <row r="13">
      <c r="A13" t="inlineStr">
        <is>
          <t xml:space="preserve">  Upfront commission (15%)</t>
        </is>
      </c>
      <c r="B13" s="9">
        <f>B7*Assumptions!$B$10/100</f>
        <v/>
      </c>
      <c r="C13" s="9">
        <f>C7*Assumptions!$B$10/100</f>
        <v/>
      </c>
      <c r="D13" s="9">
        <f>D7*Assumptions!$B$10/100</f>
        <v/>
      </c>
      <c r="E13" s="9">
        <f>E7*Assumptions!$B$10/100</f>
        <v/>
      </c>
      <c r="F13" s="9">
        <f>F7*Assumptions!$B$10/100</f>
        <v/>
      </c>
      <c r="G13" s="9">
        <f>G7*Assumptions!$B$10/100</f>
        <v/>
      </c>
      <c r="H13" s="9">
        <f>H7*Assumptions!$B$10/100</f>
        <v/>
      </c>
      <c r="I13" s="9">
        <f>I7*Assumptions!$B$10/100</f>
        <v/>
      </c>
      <c r="J13" s="9">
        <f>J7*Assumptions!$B$10/100</f>
        <v/>
      </c>
      <c r="K13" s="9">
        <f>K7*Assumptions!$B$10/100</f>
        <v/>
      </c>
      <c r="L13" s="9">
        <f>L7*Assumptions!$B$10/100</f>
        <v/>
      </c>
      <c r="M13" s="9">
        <f>M7*Assumptions!$B$10/100</f>
        <v/>
      </c>
      <c r="N13" s="9">
        <f>SUM(B13:M13)</f>
        <v/>
      </c>
    </row>
    <row r="14">
      <c r="A14" t="inlineStr">
        <is>
          <t xml:space="preserve">  Year-end MSA bonus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>
        <f>Assumptions!$B$17*Assumptions!$B$11/100*Assumptions!$B$12/100</f>
        <v/>
      </c>
      <c r="N14" s="9">
        <f>SUM(B14:M14)</f>
        <v/>
      </c>
    </row>
    <row r="15">
      <c r="A15" t="inlineStr">
        <is>
          <t xml:space="preserve">  Fixed opex (mktg/legal/sw/founder)</t>
        </is>
      </c>
      <c r="B15" s="9">
        <f>(Assumptions!$B$23+Assumptions!$B$24+Assumptions!$B$25+Assumptions!$B$26)/12</f>
        <v/>
      </c>
      <c r="C15" s="9">
        <f>(Assumptions!$B$23+Assumptions!$B$24+Assumptions!$B$25+Assumptions!$B$26)/12</f>
        <v/>
      </c>
      <c r="D15" s="9">
        <f>(Assumptions!$B$23+Assumptions!$B$24+Assumptions!$B$25+Assumptions!$B$26)/12</f>
        <v/>
      </c>
      <c r="E15" s="9">
        <f>(Assumptions!$B$23+Assumptions!$B$24+Assumptions!$B$25+Assumptions!$B$26)/12</f>
        <v/>
      </c>
      <c r="F15" s="9">
        <f>(Assumptions!$B$23+Assumptions!$B$24+Assumptions!$B$25+Assumptions!$B$26)/12</f>
        <v/>
      </c>
      <c r="G15" s="9">
        <f>(Assumptions!$B$23+Assumptions!$B$24+Assumptions!$B$25+Assumptions!$B$26)/12</f>
        <v/>
      </c>
      <c r="H15" s="9">
        <f>(Assumptions!$B$23+Assumptions!$B$24+Assumptions!$B$25+Assumptions!$B$26)/12</f>
        <v/>
      </c>
      <c r="I15" s="9">
        <f>(Assumptions!$B$23+Assumptions!$B$24+Assumptions!$B$25+Assumptions!$B$26)/12</f>
        <v/>
      </c>
      <c r="J15" s="9">
        <f>(Assumptions!$B$23+Assumptions!$B$24+Assumptions!$B$25+Assumptions!$B$26)/12</f>
        <v/>
      </c>
      <c r="K15" s="9">
        <f>(Assumptions!$B$23+Assumptions!$B$24+Assumptions!$B$25+Assumptions!$B$26)/12</f>
        <v/>
      </c>
      <c r="L15" s="9">
        <f>(Assumptions!$B$23+Assumptions!$B$24+Assumptions!$B$25+Assumptions!$B$26)/12</f>
        <v/>
      </c>
      <c r="M15" s="9">
        <f>(Assumptions!$B$23+Assumptions!$B$24+Assumptions!$B$25+Assumptions!$B$26)/12</f>
        <v/>
      </c>
      <c r="N15" s="9">
        <f>SUM(B15:M15)</f>
        <v/>
      </c>
    </row>
    <row r="16">
      <c r="A16" s="4" t="inlineStr">
        <is>
          <t>Total operating expenses</t>
        </is>
      </c>
      <c r="B16" s="15">
        <f>B13+B14+B15</f>
        <v/>
      </c>
      <c r="C16" s="15">
        <f>C13+C14+C15</f>
        <v/>
      </c>
      <c r="D16" s="15">
        <f>D13+D14+D15</f>
        <v/>
      </c>
      <c r="E16" s="15">
        <f>E13+E14+E15</f>
        <v/>
      </c>
      <c r="F16" s="15">
        <f>F13+F14+F15</f>
        <v/>
      </c>
      <c r="G16" s="15">
        <f>G13+G14+G15</f>
        <v/>
      </c>
      <c r="H16" s="15">
        <f>H13+H14+H15</f>
        <v/>
      </c>
      <c r="I16" s="15">
        <f>I13+I14+I15</f>
        <v/>
      </c>
      <c r="J16" s="15">
        <f>J13+J14+J15</f>
        <v/>
      </c>
      <c r="K16" s="15">
        <f>K13+K14+K15</f>
        <v/>
      </c>
      <c r="L16" s="15">
        <f>L13+L14+L15</f>
        <v/>
      </c>
      <c r="M16" s="15">
        <f>M13+M14+M15</f>
        <v/>
      </c>
      <c r="N16" s="15">
        <f>SUM(B16:M16)</f>
        <v/>
      </c>
    </row>
    <row r="17">
      <c r="A17" s="4" t="inlineStr">
        <is>
          <t>EBITDA</t>
        </is>
      </c>
      <c r="B17" s="15">
        <f>B12-B16</f>
        <v/>
      </c>
      <c r="C17" s="15">
        <f>C12-C16</f>
        <v/>
      </c>
      <c r="D17" s="15">
        <f>D12-D16</f>
        <v/>
      </c>
      <c r="E17" s="15">
        <f>E12-E16</f>
        <v/>
      </c>
      <c r="F17" s="15">
        <f>F12-F16</f>
        <v/>
      </c>
      <c r="G17" s="15">
        <f>G12-G16</f>
        <v/>
      </c>
      <c r="H17" s="15">
        <f>H12-H16</f>
        <v/>
      </c>
      <c r="I17" s="15">
        <f>I12-I16</f>
        <v/>
      </c>
      <c r="J17" s="15">
        <f>J12-J16</f>
        <v/>
      </c>
      <c r="K17" s="15">
        <f>K12-K16</f>
        <v/>
      </c>
      <c r="L17" s="15">
        <f>L12-L16</f>
        <v/>
      </c>
      <c r="M17" s="15">
        <f>M12-M16</f>
        <v/>
      </c>
      <c r="N17" s="16">
        <f>SUM(B17:M17)</f>
        <v/>
      </c>
    </row>
    <row r="18">
      <c r="A18" t="inlineStr">
        <is>
          <t>EBITDA margin</t>
        </is>
      </c>
      <c r="B18" s="14">
        <f>IF(B7=0,0,B17/B7)</f>
        <v/>
      </c>
      <c r="C18" s="14">
        <f>IF(C7=0,0,C17/C7)</f>
        <v/>
      </c>
      <c r="D18" s="14">
        <f>IF(D7=0,0,D17/D7)</f>
        <v/>
      </c>
      <c r="E18" s="14">
        <f>IF(E7=0,0,E17/E7)</f>
        <v/>
      </c>
      <c r="F18" s="14">
        <f>IF(F7=0,0,F17/F7)</f>
        <v/>
      </c>
      <c r="G18" s="14">
        <f>IF(G7=0,0,G17/G7)</f>
        <v/>
      </c>
      <c r="H18" s="14">
        <f>IF(H7=0,0,H17/H7)</f>
        <v/>
      </c>
      <c r="I18" s="14">
        <f>IF(I7=0,0,I17/I7)</f>
        <v/>
      </c>
      <c r="J18" s="14">
        <f>IF(J7=0,0,J17/J7)</f>
        <v/>
      </c>
      <c r="K18" s="14">
        <f>IF(K7=0,0,K17/K7)</f>
        <v/>
      </c>
      <c r="L18" s="14">
        <f>IF(L7=0,0,L17/L7)</f>
        <v/>
      </c>
      <c r="M18" s="14">
        <f>IF(M7=0,0,M17/M7)</f>
        <v/>
      </c>
      <c r="N18" s="14">
        <f>IF(N7=0,0,N17/N7)</f>
        <v/>
      </c>
    </row>
  </sheetData>
  <mergeCells count="3">
    <mergeCell ref="A3:N3"/>
    <mergeCell ref="A2:N2"/>
    <mergeCell ref="A1:N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</cols>
  <sheetData>
    <row r="1">
      <c r="A1" s="1" t="inlineStr">
        <is>
          <t>JHI Research &amp; Analytics Firm, Inc.</t>
        </is>
      </c>
    </row>
    <row r="2">
      <c r="A2" s="2" t="inlineStr">
        <is>
          <t>Monthly breakdown — accrual basis (ASC 606)</t>
        </is>
      </c>
    </row>
    <row r="3">
      <c r="A3" s="3" t="inlineStr">
        <is>
          <t>generated 2026-07-30  ·  JHI-SIG: 69M2705M</t>
        </is>
      </c>
    </row>
    <row r="4">
      <c r="A4" s="3" t="inlineStr">
        <is>
          <t>Revenue recognized ratably as cohorts stack; commission amortized over 12 mo. Builds monthly; the balance is deferred revenue carried to Yr 2 (see note).</t>
        </is>
      </c>
    </row>
    <row r="5">
      <c r="A5" s="1" t="inlineStr">
        <is>
          <t>$ per month</t>
        </is>
      </c>
      <c r="B5" s="12" t="inlineStr">
        <is>
          <t>Mo 1</t>
        </is>
      </c>
      <c r="C5" s="12" t="inlineStr">
        <is>
          <t>Mo 2</t>
        </is>
      </c>
      <c r="D5" s="12" t="inlineStr">
        <is>
          <t>Mo 3</t>
        </is>
      </c>
      <c r="E5" s="12" t="inlineStr">
        <is>
          <t>Mo 4</t>
        </is>
      </c>
      <c r="F5" s="12" t="inlineStr">
        <is>
          <t>Mo 5</t>
        </is>
      </c>
      <c r="G5" s="12" t="inlineStr">
        <is>
          <t>Mo 6</t>
        </is>
      </c>
      <c r="H5" s="12" t="inlineStr">
        <is>
          <t>Mo 7</t>
        </is>
      </c>
      <c r="I5" s="12" t="inlineStr">
        <is>
          <t>Mo 8</t>
        </is>
      </c>
      <c r="J5" s="12" t="inlineStr">
        <is>
          <t>Mo 9</t>
        </is>
      </c>
      <c r="K5" s="12" t="inlineStr">
        <is>
          <t>Mo 10</t>
        </is>
      </c>
      <c r="L5" s="12" t="inlineStr">
        <is>
          <t>Mo 11</t>
        </is>
      </c>
      <c r="M5" s="12" t="inlineStr">
        <is>
          <t>Mo 12</t>
        </is>
      </c>
      <c r="N5" s="12" t="inlineStr">
        <is>
          <t>Year 1</t>
        </is>
      </c>
    </row>
    <row r="6">
      <c r="A6" s="4" t="inlineStr">
        <is>
          <t>Recognized revenue</t>
        </is>
      </c>
      <c r="B6" s="15">
        <f>1*Assumptions!$B$8*Assumptions!$B$16/12</f>
        <v/>
      </c>
      <c r="C6" s="15">
        <f>2*Assumptions!$B$8*Assumptions!$B$16/12</f>
        <v/>
      </c>
      <c r="D6" s="15">
        <f>3*Assumptions!$B$8*Assumptions!$B$16/12</f>
        <v/>
      </c>
      <c r="E6" s="15">
        <f>4*Assumptions!$B$8*Assumptions!$B$16/12</f>
        <v/>
      </c>
      <c r="F6" s="15">
        <f>5*Assumptions!$B$8*Assumptions!$B$16/12</f>
        <v/>
      </c>
      <c r="G6" s="15">
        <f>6*Assumptions!$B$8*Assumptions!$B$16/12</f>
        <v/>
      </c>
      <c r="H6" s="15">
        <f>7*Assumptions!$B$8*Assumptions!$B$16/12</f>
        <v/>
      </c>
      <c r="I6" s="15">
        <f>8*Assumptions!$B$8*Assumptions!$B$16/12</f>
        <v/>
      </c>
      <c r="J6" s="15">
        <f>9*Assumptions!$B$8*Assumptions!$B$16/12</f>
        <v/>
      </c>
      <c r="K6" s="15">
        <f>10*Assumptions!$B$8*Assumptions!$B$16/12</f>
        <v/>
      </c>
      <c r="L6" s="15">
        <f>11*Assumptions!$B$8*Assumptions!$B$16/12</f>
        <v/>
      </c>
      <c r="M6" s="15">
        <f>12*Assumptions!$B$8*Assumptions!$B$16/12</f>
        <v/>
      </c>
      <c r="N6" s="15">
        <f>SUM(B6:M6)</f>
        <v/>
      </c>
    </row>
    <row r="7">
      <c r="A7" t="inlineStr">
        <is>
          <t>Total COGS</t>
        </is>
      </c>
      <c r="B7" s="9">
        <f>B6*(Assumptions!$B$20+Assumptions!$B$21)/100+Assumptions!$B$22/12</f>
        <v/>
      </c>
      <c r="C7" s="9">
        <f>C6*(Assumptions!$B$20+Assumptions!$B$21)/100+Assumptions!$B$22/12</f>
        <v/>
      </c>
      <c r="D7" s="9">
        <f>D6*(Assumptions!$B$20+Assumptions!$B$21)/100+Assumptions!$B$22/12</f>
        <v/>
      </c>
      <c r="E7" s="9">
        <f>E6*(Assumptions!$B$20+Assumptions!$B$21)/100+Assumptions!$B$22/12</f>
        <v/>
      </c>
      <c r="F7" s="9">
        <f>F6*(Assumptions!$B$20+Assumptions!$B$21)/100+Assumptions!$B$22/12</f>
        <v/>
      </c>
      <c r="G7" s="9">
        <f>G6*(Assumptions!$B$20+Assumptions!$B$21)/100+Assumptions!$B$22/12</f>
        <v/>
      </c>
      <c r="H7" s="9">
        <f>H6*(Assumptions!$B$20+Assumptions!$B$21)/100+Assumptions!$B$22/12</f>
        <v/>
      </c>
      <c r="I7" s="9">
        <f>I6*(Assumptions!$B$20+Assumptions!$B$21)/100+Assumptions!$B$22/12</f>
        <v/>
      </c>
      <c r="J7" s="9">
        <f>J6*(Assumptions!$B$20+Assumptions!$B$21)/100+Assumptions!$B$22/12</f>
        <v/>
      </c>
      <c r="K7" s="9">
        <f>K6*(Assumptions!$B$20+Assumptions!$B$21)/100+Assumptions!$B$22/12</f>
        <v/>
      </c>
      <c r="L7" s="9">
        <f>L6*(Assumptions!$B$20+Assumptions!$B$21)/100+Assumptions!$B$22/12</f>
        <v/>
      </c>
      <c r="M7" s="9">
        <f>M6*(Assumptions!$B$20+Assumptions!$B$21)/100+Assumptions!$B$22/12</f>
        <v/>
      </c>
      <c r="N7" s="9">
        <f>SUM(B7:M7)</f>
        <v/>
      </c>
    </row>
    <row r="8">
      <c r="A8" s="4" t="inlineStr">
        <is>
          <t>Gross profit</t>
        </is>
      </c>
      <c r="B8" s="15">
        <f>B6-B7</f>
        <v/>
      </c>
      <c r="C8" s="15">
        <f>C6-C7</f>
        <v/>
      </c>
      <c r="D8" s="15">
        <f>D6-D7</f>
        <v/>
      </c>
      <c r="E8" s="15">
        <f>E6-E7</f>
        <v/>
      </c>
      <c r="F8" s="15">
        <f>F6-F7</f>
        <v/>
      </c>
      <c r="G8" s="15">
        <f>G6-G7</f>
        <v/>
      </c>
      <c r="H8" s="15">
        <f>H6-H7</f>
        <v/>
      </c>
      <c r="I8" s="15">
        <f>I6-I7</f>
        <v/>
      </c>
      <c r="J8" s="15">
        <f>J6-J7</f>
        <v/>
      </c>
      <c r="K8" s="15">
        <f>K6-K7</f>
        <v/>
      </c>
      <c r="L8" s="15">
        <f>L6-L7</f>
        <v/>
      </c>
      <c r="M8" s="15">
        <f>M6-M7</f>
        <v/>
      </c>
      <c r="N8" s="15">
        <f>SUM(B8:M8)</f>
        <v/>
      </c>
    </row>
    <row r="9">
      <c r="A9" t="inlineStr">
        <is>
          <t xml:space="preserve">  Commission (amortized)</t>
        </is>
      </c>
      <c r="B9" s="9">
        <f>1*(Assumptions!$B$8*Assumptions!$B$16*Assumptions!$B$10/100)/12</f>
        <v/>
      </c>
      <c r="C9" s="9">
        <f>2*(Assumptions!$B$8*Assumptions!$B$16*Assumptions!$B$10/100)/12</f>
        <v/>
      </c>
      <c r="D9" s="9">
        <f>3*(Assumptions!$B$8*Assumptions!$B$16*Assumptions!$B$10/100)/12</f>
        <v/>
      </c>
      <c r="E9" s="9">
        <f>4*(Assumptions!$B$8*Assumptions!$B$16*Assumptions!$B$10/100)/12</f>
        <v/>
      </c>
      <c r="F9" s="9">
        <f>5*(Assumptions!$B$8*Assumptions!$B$16*Assumptions!$B$10/100)/12</f>
        <v/>
      </c>
      <c r="G9" s="9">
        <f>6*(Assumptions!$B$8*Assumptions!$B$16*Assumptions!$B$10/100)/12</f>
        <v/>
      </c>
      <c r="H9" s="9">
        <f>7*(Assumptions!$B$8*Assumptions!$B$16*Assumptions!$B$10/100)/12</f>
        <v/>
      </c>
      <c r="I9" s="9">
        <f>8*(Assumptions!$B$8*Assumptions!$B$16*Assumptions!$B$10/100)/12</f>
        <v/>
      </c>
      <c r="J9" s="9">
        <f>9*(Assumptions!$B$8*Assumptions!$B$16*Assumptions!$B$10/100)/12</f>
        <v/>
      </c>
      <c r="K9" s="9">
        <f>10*(Assumptions!$B$8*Assumptions!$B$16*Assumptions!$B$10/100)/12</f>
        <v/>
      </c>
      <c r="L9" s="9">
        <f>11*(Assumptions!$B$8*Assumptions!$B$16*Assumptions!$B$10/100)/12</f>
        <v/>
      </c>
      <c r="M9" s="9">
        <f>12*(Assumptions!$B$8*Assumptions!$B$16*Assumptions!$B$10/100)/12</f>
        <v/>
      </c>
      <c r="N9" s="9">
        <f>SUM(B9:M9)</f>
        <v/>
      </c>
    </row>
    <row r="10">
      <c r="A10" t="inlineStr">
        <is>
          <t xml:space="preserve">  Fixed opex</t>
        </is>
      </c>
      <c r="B10" s="9">
        <f>(Assumptions!$B$23+Assumptions!$B$24+Assumptions!$B$25+Assumptions!$B$26)/12</f>
        <v/>
      </c>
      <c r="C10" s="9">
        <f>(Assumptions!$B$23+Assumptions!$B$24+Assumptions!$B$25+Assumptions!$B$26)/12</f>
        <v/>
      </c>
      <c r="D10" s="9">
        <f>(Assumptions!$B$23+Assumptions!$B$24+Assumptions!$B$25+Assumptions!$B$26)/12</f>
        <v/>
      </c>
      <c r="E10" s="9">
        <f>(Assumptions!$B$23+Assumptions!$B$24+Assumptions!$B$25+Assumptions!$B$26)/12</f>
        <v/>
      </c>
      <c r="F10" s="9">
        <f>(Assumptions!$B$23+Assumptions!$B$24+Assumptions!$B$25+Assumptions!$B$26)/12</f>
        <v/>
      </c>
      <c r="G10" s="9">
        <f>(Assumptions!$B$23+Assumptions!$B$24+Assumptions!$B$25+Assumptions!$B$26)/12</f>
        <v/>
      </c>
      <c r="H10" s="9">
        <f>(Assumptions!$B$23+Assumptions!$B$24+Assumptions!$B$25+Assumptions!$B$26)/12</f>
        <v/>
      </c>
      <c r="I10" s="9">
        <f>(Assumptions!$B$23+Assumptions!$B$24+Assumptions!$B$25+Assumptions!$B$26)/12</f>
        <v/>
      </c>
      <c r="J10" s="9">
        <f>(Assumptions!$B$23+Assumptions!$B$24+Assumptions!$B$25+Assumptions!$B$26)/12</f>
        <v/>
      </c>
      <c r="K10" s="9">
        <f>(Assumptions!$B$23+Assumptions!$B$24+Assumptions!$B$25+Assumptions!$B$26)/12</f>
        <v/>
      </c>
      <c r="L10" s="9">
        <f>(Assumptions!$B$23+Assumptions!$B$24+Assumptions!$B$25+Assumptions!$B$26)/12</f>
        <v/>
      </c>
      <c r="M10" s="9">
        <f>(Assumptions!$B$23+Assumptions!$B$24+Assumptions!$B$25+Assumptions!$B$26)/12</f>
        <v/>
      </c>
      <c r="N10" s="9">
        <f>SUM(B10:M10)</f>
        <v/>
      </c>
    </row>
    <row r="11">
      <c r="A11" t="inlineStr">
        <is>
          <t xml:space="preserve">  Year-end MSA bonus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>
        <f>Assumptions!$B$8*Assumptions!$B$11/100*Assumptions!$B$16*Assumptions!$B$12/100</f>
        <v/>
      </c>
      <c r="N11" s="9">
        <f>SUM(B11:M11)</f>
        <v/>
      </c>
    </row>
    <row r="12">
      <c r="A12" s="4" t="inlineStr">
        <is>
          <t>EBITDA</t>
        </is>
      </c>
      <c r="B12" s="15">
        <f>B8-B9-B10-B11</f>
        <v/>
      </c>
      <c r="C12" s="15">
        <f>C8-C9-C10-C11</f>
        <v/>
      </c>
      <c r="D12" s="15">
        <f>D8-D9-D10-D11</f>
        <v/>
      </c>
      <c r="E12" s="15">
        <f>E8-E9-E10-E11</f>
        <v/>
      </c>
      <c r="F12" s="15">
        <f>F8-F9-F10-F11</f>
        <v/>
      </c>
      <c r="G12" s="15">
        <f>G8-G9-G10-G11</f>
        <v/>
      </c>
      <c r="H12" s="15">
        <f>H8-H9-H10-H11</f>
        <v/>
      </c>
      <c r="I12" s="15">
        <f>I8-I9-I10-I11</f>
        <v/>
      </c>
      <c r="J12" s="15">
        <f>J8-J9-J10-J11</f>
        <v/>
      </c>
      <c r="K12" s="15">
        <f>K8-K9-K10-K11</f>
        <v/>
      </c>
      <c r="L12" s="15">
        <f>L8-L9-L10-L11</f>
        <v/>
      </c>
      <c r="M12" s="15">
        <f>M8-M9-M10-M11</f>
        <v/>
      </c>
      <c r="N12" s="15">
        <f>SUM(B12:M12)</f>
        <v/>
      </c>
    </row>
    <row r="13">
      <c r="A13" t="inlineStr">
        <is>
          <t>EBITDA margin</t>
        </is>
      </c>
      <c r="B13" s="14">
        <f>IF(B6=0,0,B12/B6)</f>
        <v/>
      </c>
      <c r="C13" s="14">
        <f>IF(C6=0,0,C12/C6)</f>
        <v/>
      </c>
      <c r="D13" s="14">
        <f>IF(D6=0,0,D12/D6)</f>
        <v/>
      </c>
      <c r="E13" s="14">
        <f>IF(E6=0,0,E12/E6)</f>
        <v/>
      </c>
      <c r="F13" s="14">
        <f>IF(F6=0,0,F12/F6)</f>
        <v/>
      </c>
      <c r="G13" s="14">
        <f>IF(G6=0,0,G12/G6)</f>
        <v/>
      </c>
      <c r="H13" s="14">
        <f>IF(H6=0,0,H12/H6)</f>
        <v/>
      </c>
      <c r="I13" s="14">
        <f>IF(I6=0,0,I12/I6)</f>
        <v/>
      </c>
      <c r="J13" s="14">
        <f>IF(J6=0,0,J12/J6)</f>
        <v/>
      </c>
      <c r="K13" s="14">
        <f>IF(K6=0,0,K12/K6)</f>
        <v/>
      </c>
      <c r="L13" s="14">
        <f>IF(L6=0,0,L12/L6)</f>
        <v/>
      </c>
      <c r="M13" s="14">
        <f>IF(M6=0,0,M12/M6)</f>
        <v/>
      </c>
      <c r="N13" s="14">
        <f>IF(N6=0,0,N12/N6)</f>
        <v/>
      </c>
    </row>
    <row r="15">
      <c r="A15" s="4" t="inlineStr">
        <is>
          <t>Deferred to Yr 2 (booked − recognized):</t>
        </is>
      </c>
      <c r="N15" s="9">
        <f>Assumptions!$B$17-N6</f>
        <v/>
      </c>
    </row>
    <row r="16">
      <c r="A16" s="3" t="inlineStr">
        <is>
          <t>Note: booked cash = full annual up front (see Bookings tab); accrual recognizes ratably, so Yr-1 EBITDA is lower but Yr 2 opens with revenue in hand.</t>
        </is>
      </c>
    </row>
  </sheetData>
  <mergeCells count="3">
    <mergeCell ref="A3:N3"/>
    <mergeCell ref="A2:N2"/>
    <mergeCell ref="A1:N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JHI Research &amp; Analytics Firm, Inc.</t>
        </is>
      </c>
    </row>
    <row r="2">
      <c r="A2" s="2" t="inlineStr">
        <is>
          <t>Salesperson total compensation &amp; mix sensitivity</t>
        </is>
      </c>
    </row>
    <row r="3">
      <c r="A3" s="3" t="inlineStr">
        <is>
          <t>generated 2026-07-30  ·  JHI-SIG: 69M2705M</t>
        </is>
      </c>
    </row>
    <row r="5">
      <c r="A5" s="4" t="inlineStr">
        <is>
          <t>Upfront commission (15%)</t>
        </is>
      </c>
      <c r="B5" s="15">
        <f>'Upfront Commission (15%)'!$D$10</f>
        <v/>
      </c>
    </row>
    <row r="6">
      <c r="A6" s="4" t="inlineStr">
        <is>
          <t>Year-end MSA-completion bonus</t>
        </is>
      </c>
      <c r="B6" s="15">
        <f>'Year-End MSA Bonus'!$B$10</f>
        <v/>
      </c>
    </row>
    <row r="7">
      <c r="A7" s="4" t="inlineStr">
        <is>
          <t>Total salesperson compensation</t>
        </is>
      </c>
      <c r="B7" s="13">
        <f>B5+B6</f>
        <v/>
      </c>
    </row>
    <row r="8">
      <c r="A8" t="inlineStr">
        <is>
          <t>Total comp as % of revenue</t>
        </is>
      </c>
      <c r="B8" s="14">
        <f>IF(Assumptions!$B$17=0,0,B7/Assumptions!$B$17)</f>
        <v/>
      </c>
    </row>
    <row r="11">
      <c r="A11" s="7" t="inlineStr">
        <is>
          <t>Sensitivity — by Tier-1 mix (1,200 subs)</t>
        </is>
      </c>
    </row>
    <row r="12">
      <c r="A12" s="1" t="inlineStr">
        <is>
          <t>Metric</t>
        </is>
      </c>
      <c r="B12" s="12" t="inlineStr">
        <is>
          <t>0% T1</t>
        </is>
      </c>
      <c r="C12" s="12" t="inlineStr">
        <is>
          <t>10% T1</t>
        </is>
      </c>
      <c r="D12" s="12" t="inlineStr">
        <is>
          <t>20% T1</t>
        </is>
      </c>
    </row>
    <row r="13">
      <c r="A13" s="18" t="inlineStr">
        <is>
          <t>Avg full-paid price / sub (net)</t>
        </is>
      </c>
      <c r="B13" s="9">
        <f>((Assumptions!$B$5*0/100)+(Assumptions!$B$6*(1-0/100)))*12*(1-Assumptions!$B$9/100)</f>
        <v/>
      </c>
      <c r="C13" s="9">
        <f>((Assumptions!$B$5*10/100)+(Assumptions!$B$6*(1-10/100)))*12*(1-Assumptions!$B$9/100)</f>
        <v/>
      </c>
      <c r="D13" s="9">
        <f>((Assumptions!$B$5*20/100)+(Assumptions!$B$6*(1-20/100)))*12*(1-Assumptions!$B$9/100)</f>
        <v/>
      </c>
    </row>
    <row r="14">
      <c r="A14" s="18" t="inlineStr">
        <is>
          <t>Prepaid annual revenue (net)</t>
        </is>
      </c>
      <c r="B14" s="9">
        <f>Assumptions!$B$15*((Assumptions!$B$5*0/100)+(Assumptions!$B$6*(1-0/100)))*12*(1-Assumptions!$B$9/100)</f>
        <v/>
      </c>
      <c r="C14" s="9">
        <f>Assumptions!$B$15*((Assumptions!$B$5*10/100)+(Assumptions!$B$6*(1-10/100)))*12*(1-Assumptions!$B$9/100)</f>
        <v/>
      </c>
      <c r="D14" s="9">
        <f>Assumptions!$B$15*((Assumptions!$B$5*20/100)+(Assumptions!$B$6*(1-20/100)))*12*(1-Assumptions!$B$9/100)</f>
        <v/>
      </c>
    </row>
    <row r="15">
      <c r="A15" s="18" t="inlineStr">
        <is>
          <t>Upfront commission (15%)</t>
        </is>
      </c>
      <c r="B15" s="9">
        <f>(Assumptions!$B$15*((Assumptions!$B$5*0/100)+(Assumptions!$B$6*(1-0/100)))*12*(1-Assumptions!$B$9/100))*Assumptions!$B$10/100</f>
        <v/>
      </c>
      <c r="C15" s="9">
        <f>(Assumptions!$B$15*((Assumptions!$B$5*10/100)+(Assumptions!$B$6*(1-10/100)))*12*(1-Assumptions!$B$9/100))*Assumptions!$B$10/100</f>
        <v/>
      </c>
      <c r="D15" s="9">
        <f>(Assumptions!$B$15*((Assumptions!$B$5*20/100)+(Assumptions!$B$6*(1-20/100)))*12*(1-Assumptions!$B$9/100))*Assumptions!$B$10/100</f>
        <v/>
      </c>
    </row>
    <row r="16">
      <c r="A16" s="18" t="inlineStr">
        <is>
          <t>Year-end MSA bonus</t>
        </is>
      </c>
      <c r="B16" s="9">
        <f>(Assumptions!$B$15*((Assumptions!$B$5*0/100)+(Assumptions!$B$6*(1-0/100)))*12*(1-Assumptions!$B$9/100))*Assumptions!$B$11/100*Assumptions!$B$12/100</f>
        <v/>
      </c>
      <c r="C16" s="9">
        <f>(Assumptions!$B$15*((Assumptions!$B$5*10/100)+(Assumptions!$B$6*(1-10/100)))*12*(1-Assumptions!$B$9/100))*Assumptions!$B$11/100*Assumptions!$B$12/100</f>
        <v/>
      </c>
      <c r="D16" s="9">
        <f>(Assumptions!$B$15*((Assumptions!$B$5*20/100)+(Assumptions!$B$6*(1-20/100)))*12*(1-Assumptions!$B$9/100))*Assumptions!$B$11/100*Assumptions!$B$12/100</f>
        <v/>
      </c>
    </row>
    <row r="17">
      <c r="A17" s="4" t="inlineStr">
        <is>
          <t>Total salesperson comp</t>
        </is>
      </c>
      <c r="B17" s="13">
        <f>B15+B16</f>
        <v/>
      </c>
      <c r="C17" s="13">
        <f>C15+C16</f>
        <v/>
      </c>
      <c r="D17" s="13">
        <f>D15+D16</f>
        <v/>
      </c>
    </row>
    <row r="19">
      <c r="A19" s="3" t="inlineStr">
        <is>
          <t>Note: upfront commission is front-loaded cash at signing; the year-end bonus rewards 12-mo MSA completion (retention). Confirm plan mechanics with counsel/CPA.</t>
        </is>
      </c>
    </row>
  </sheetData>
  <mergeCells count="3">
    <mergeCell ref="A1:D1"/>
    <mergeCell ref="A3:D3"/>
    <mergeCell ref="A2:D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JHI Research &amp; Analytics Firm, Inc.</t>
        </is>
      </c>
    </row>
    <row r="3">
      <c r="A3" s="19" t="inlineStr">
        <is>
          <t>Internal planning model from user-supplied assumptions — illustrative only, not a forecast, offer of employment, or compensation guarantee.</t>
        </is>
      </c>
    </row>
    <row r="4">
      <c r="A4" s="19" t="inlineStr">
        <is>
          <t>Upfront commission is paid on collected, full-paid (prepaid annual) contracts. Consider a pro-rata clawback if a prepaid contract is refunded/cancelled before the 12-mo MSA completes.</t>
        </is>
      </c>
    </row>
    <row r="5">
      <c r="A5" s="19" t="inlineStr">
        <is>
          <t>The year-end MSA-completion bonus rewards contracts that complete the full 12-month term.</t>
        </is>
      </c>
    </row>
    <row r="6">
      <c r="A6" s="19" t="inlineStr">
        <is>
          <t>Founder signature of provenance: JHI-SIG: 69M2705M</t>
        </is>
      </c>
    </row>
    <row r="7">
      <c r="A7" s="19" t="inlineStr">
        <is>
          <t>© 2026 JHI Research &amp; Analytics Firm, Inc.. All rights reserved. Confidential.</t>
        </is>
      </c>
    </row>
  </sheetData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2026-07-30T02:48:28Z</dcterms:created>
  <dcterms:modified xmlns:dcterms="http://purl.org/dc/terms/" xmlns:xsi="http://www.w3.org/2001/XMLSchema-instance" xsi:type="dcterms:W3CDTF">2026-07-30T02:48:28Z</dcterms:modified>
</cp:coreProperties>
</file>