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Year-1 by Mix" sheetId="3" state="visible" r:id="rId3"/>
    <sheet xmlns:r="http://schemas.openxmlformats.org/officeDocument/2006/relationships" name="Year-1 EBITDA by Mix" sheetId="4" state="visible" r:id="rId4"/>
    <sheet xmlns:r="http://schemas.openxmlformats.org/officeDocument/2006/relationships" name="Monthly EBITDA &amp; Opex" sheetId="5" state="visible" r:id="rId5"/>
    <sheet xmlns:r="http://schemas.openxmlformats.org/officeDocument/2006/relationships" name="Salesperson Bonus (MSA)" sheetId="6" state="visible" r:id="rId6"/>
    <sheet xmlns:r="http://schemas.openxmlformats.org/officeDocument/2006/relationships" name="Legal &amp; 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C1F33"/>
      <sz val="13"/>
    </font>
    <font>
      <i val="1"/>
      <color rgb="005A6B7D"/>
      <sz val="9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FFF6D5"/>
      </patternFill>
    </fill>
    <fill>
      <patternFill patternType="solid">
        <fgColor rgb="00EAEF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4" fillId="4" borderId="0" pivotButton="0" quotePrefix="0" xfId="0"/>
    <xf numFmtId="165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4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right"/>
    </xf>
    <xf numFmtId="3" fontId="0" fillId="3" borderId="0" pivotButton="0" quotePrefix="0" xfId="0"/>
    <xf numFmtId="164" fontId="4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Sales Commission Model — assumptions</t>
        </is>
      </c>
    </row>
    <row r="3">
      <c r="A3" s="3" t="inlineStr">
        <is>
          <t>generated 2026-07-12  ·  JHI-SIG: 69M2705M</t>
        </is>
      </c>
    </row>
    <row r="5">
      <c r="A5" s="4" t="inlineStr">
        <is>
          <t>Tier 1 price ($/mo)</t>
        </is>
      </c>
      <c r="B5" s="5" t="n">
        <v>1500</v>
      </c>
      <c r="C5" s="3" t="inlineStr">
        <is>
          <t>Enterprise / Family Office</t>
        </is>
      </c>
    </row>
    <row r="6">
      <c r="A6" s="4" t="inlineStr">
        <is>
          <t>Tier 2 price ($/mo)</t>
        </is>
      </c>
      <c r="B6" s="5" t="n">
        <v>299</v>
      </c>
      <c r="C6" s="3" t="inlineStr">
        <is>
          <t>Professional</t>
        </is>
      </c>
    </row>
    <row r="7">
      <c r="A7" s="4" t="inlineStr">
        <is>
          <t>Tier 1 mix (% of closes)</t>
        </is>
      </c>
      <c r="B7" s="5" t="n">
        <v>0</v>
      </c>
      <c r="C7" s="3" t="inlineStr">
        <is>
          <t>0 = all Tier 2; try 10 or 20</t>
        </is>
      </c>
    </row>
    <row r="8">
      <c r="A8" s="4" t="inlineStr">
        <is>
          <t>Closes per month</t>
        </is>
      </c>
      <c r="B8" s="5" t="n">
        <v>100</v>
      </c>
      <c r="C8" s="3" t="inlineStr">
        <is>
          <t>New subs signed each month</t>
        </is>
      </c>
    </row>
    <row r="9">
      <c r="A9" s="4" t="inlineStr">
        <is>
          <t>Residual commission (% of MRR)</t>
        </is>
      </c>
      <c r="B9" s="5" t="n">
        <v>10</v>
      </c>
      <c r="C9" s="3" t="inlineStr">
        <is>
          <t>Paid monthly while active</t>
        </is>
      </c>
    </row>
    <row r="10">
      <c r="A10" s="4" t="inlineStr">
        <is>
          <t>Monthly churn (%)</t>
        </is>
      </c>
      <c r="B10" s="5" t="n">
        <v>0</v>
      </c>
      <c r="C10" s="3" t="inlineStr">
        <is>
          <t>Subs lost per month</t>
        </is>
      </c>
    </row>
    <row r="11">
      <c r="A11" s="4" t="inlineStr">
        <is>
          <t>Blended gross margin (%)</t>
        </is>
      </c>
      <c r="B11" s="5" t="n">
        <v>96</v>
      </c>
      <c r="C11" s="3" t="inlineStr">
        <is>
          <t>For JHI contribution</t>
        </is>
      </c>
    </row>
    <row r="13">
      <c r="A13" s="4" t="inlineStr">
        <is>
          <t>Avg MRR / sub</t>
        </is>
      </c>
      <c r="B13" s="6">
        <f>$B$5*$B$7/100+$B$6*(1-$B$7/100)</f>
        <v/>
      </c>
    </row>
    <row r="15">
      <c r="A15" s="7" t="inlineStr">
        <is>
          <t>OPERATING ASSUMPTIONS (editable)</t>
        </is>
      </c>
    </row>
    <row r="16">
      <c r="A16" s="4" t="inlineStr">
        <is>
          <t>Payment processing (% of revenue)</t>
        </is>
      </c>
      <c r="B16" s="8" t="n">
        <v>3</v>
      </c>
    </row>
    <row r="17">
      <c r="A17" s="4" t="inlineStr">
        <is>
          <t>Infra / support (% of revenue)</t>
        </is>
      </c>
      <c r="B17" s="8" t="n">
        <v>2</v>
      </c>
    </row>
    <row r="18">
      <c r="A18" s="4" t="inlineStr">
        <is>
          <t>Data license — SF1 ($/yr, fixed)</t>
        </is>
      </c>
      <c r="B18" s="9" t="n">
        <v>18000</v>
      </c>
    </row>
    <row r="19">
      <c r="A19" s="4" t="inlineStr">
        <is>
          <t>Marketing ($/yr)</t>
        </is>
      </c>
      <c r="B19" s="9" t="n">
        <v>36000</v>
      </c>
    </row>
    <row r="20">
      <c r="A20" s="4" t="inlineStr">
        <is>
          <t>Legal &amp; accounting ($/yr)</t>
        </is>
      </c>
      <c r="B20" s="9" t="n">
        <v>18000</v>
      </c>
    </row>
    <row r="21">
      <c r="A21" s="4" t="inlineStr">
        <is>
          <t>Software &amp; AI tools ($/yr)</t>
        </is>
      </c>
      <c r="B21" s="9" t="n">
        <v>12000</v>
      </c>
    </row>
    <row r="22">
      <c r="A22" s="4" t="inlineStr">
        <is>
          <t>Founder / ops comp ($/yr)</t>
        </is>
      </c>
      <c r="B22" s="9" t="n">
        <v>60000</v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JHI Research &amp; Analytics Firm, Inc.</t>
        </is>
      </c>
    </row>
    <row r="2">
      <c r="A2" s="2" t="inlineStr">
        <is>
          <t>24-month commission schedule (live)</t>
        </is>
      </c>
    </row>
    <row r="3">
      <c r="A3" s="3" t="inlineStr">
        <is>
          <t>generated 2026-07-12  ·  JHI-SIG: 69M2705M</t>
        </is>
      </c>
    </row>
    <row r="5">
      <c r="A5" s="1" t="inlineStr">
        <is>
          <t>Month</t>
        </is>
      </c>
      <c r="B5" s="1" t="inlineStr">
        <is>
          <t>New subs</t>
        </is>
      </c>
      <c r="C5" s="1" t="inlineStr">
        <is>
          <t>Active subs</t>
        </is>
      </c>
      <c r="D5" s="1" t="inlineStr">
        <is>
          <t>Avg MRR</t>
        </is>
      </c>
      <c r="E5" s="1" t="inlineStr">
        <is>
          <t>Billed MRR</t>
        </is>
      </c>
      <c r="F5" s="1" t="inlineStr">
        <is>
          <t>Commission</t>
        </is>
      </c>
      <c r="G5" s="1" t="inlineStr">
        <is>
          <t>JHI GM after comm.</t>
        </is>
      </c>
    </row>
    <row r="6">
      <c r="A6" t="n">
        <v>1</v>
      </c>
      <c r="B6">
        <f>Assumptions!$B$8</f>
        <v/>
      </c>
      <c r="C6" s="10">
        <f>B6</f>
        <v/>
      </c>
      <c r="D6" s="6">
        <f>Assumptions!$B$13</f>
        <v/>
      </c>
      <c r="E6" s="6">
        <f>C6*D6</f>
        <v/>
      </c>
      <c r="F6" s="6">
        <f>E6*Assumptions!$B$9/100</f>
        <v/>
      </c>
      <c r="G6" s="6">
        <f>E6*Assumptions!$B$11/100-F6</f>
        <v/>
      </c>
    </row>
    <row r="7">
      <c r="A7" t="n">
        <v>2</v>
      </c>
      <c r="B7">
        <f>Assumptions!$B$8</f>
        <v/>
      </c>
      <c r="C7" s="10">
        <f>C6*(1-Assumptions!$B$10/100)+B7</f>
        <v/>
      </c>
      <c r="D7" s="6">
        <f>Assumptions!$B$13</f>
        <v/>
      </c>
      <c r="E7" s="6">
        <f>C7*D7</f>
        <v/>
      </c>
      <c r="F7" s="6">
        <f>E7*Assumptions!$B$9/100</f>
        <v/>
      </c>
      <c r="G7" s="6">
        <f>E7*Assumptions!$B$11/100-F7</f>
        <v/>
      </c>
    </row>
    <row r="8">
      <c r="A8" t="n">
        <v>3</v>
      </c>
      <c r="B8">
        <f>Assumptions!$B$8</f>
        <v/>
      </c>
      <c r="C8" s="10">
        <f>C7*(1-Assumptions!$B$10/100)+B8</f>
        <v/>
      </c>
      <c r="D8" s="6">
        <f>Assumptions!$B$13</f>
        <v/>
      </c>
      <c r="E8" s="6">
        <f>C8*D8</f>
        <v/>
      </c>
      <c r="F8" s="6">
        <f>E8*Assumptions!$B$9/100</f>
        <v/>
      </c>
      <c r="G8" s="6">
        <f>E8*Assumptions!$B$11/100-F8</f>
        <v/>
      </c>
    </row>
    <row r="9">
      <c r="A9" t="n">
        <v>4</v>
      </c>
      <c r="B9">
        <f>Assumptions!$B$8</f>
        <v/>
      </c>
      <c r="C9" s="10">
        <f>C8*(1-Assumptions!$B$10/100)+B9</f>
        <v/>
      </c>
      <c r="D9" s="6">
        <f>Assumptions!$B$13</f>
        <v/>
      </c>
      <c r="E9" s="6">
        <f>C9*D9</f>
        <v/>
      </c>
      <c r="F9" s="6">
        <f>E9*Assumptions!$B$9/100</f>
        <v/>
      </c>
      <c r="G9" s="6">
        <f>E9*Assumptions!$B$11/100-F9</f>
        <v/>
      </c>
    </row>
    <row r="10">
      <c r="A10" t="n">
        <v>5</v>
      </c>
      <c r="B10">
        <f>Assumptions!$B$8</f>
        <v/>
      </c>
      <c r="C10" s="10">
        <f>C9*(1-Assumptions!$B$10/100)+B10</f>
        <v/>
      </c>
      <c r="D10" s="6">
        <f>Assumptions!$B$13</f>
        <v/>
      </c>
      <c r="E10" s="6">
        <f>C10*D10</f>
        <v/>
      </c>
      <c r="F10" s="6">
        <f>E10*Assumptions!$B$9/100</f>
        <v/>
      </c>
      <c r="G10" s="6">
        <f>E10*Assumptions!$B$11/100-F10</f>
        <v/>
      </c>
    </row>
    <row r="11">
      <c r="A11" t="n">
        <v>6</v>
      </c>
      <c r="B11">
        <f>Assumptions!$B$8</f>
        <v/>
      </c>
      <c r="C11" s="10">
        <f>C10*(1-Assumptions!$B$10/100)+B11</f>
        <v/>
      </c>
      <c r="D11" s="6">
        <f>Assumptions!$B$13</f>
        <v/>
      </c>
      <c r="E11" s="6">
        <f>C11*D11</f>
        <v/>
      </c>
      <c r="F11" s="6">
        <f>E11*Assumptions!$B$9/100</f>
        <v/>
      </c>
      <c r="G11" s="6">
        <f>E11*Assumptions!$B$11/100-F11</f>
        <v/>
      </c>
    </row>
    <row r="12">
      <c r="A12" t="n">
        <v>7</v>
      </c>
      <c r="B12">
        <f>Assumptions!$B$8</f>
        <v/>
      </c>
      <c r="C12" s="10">
        <f>C11*(1-Assumptions!$B$10/100)+B12</f>
        <v/>
      </c>
      <c r="D12" s="6">
        <f>Assumptions!$B$13</f>
        <v/>
      </c>
      <c r="E12" s="6">
        <f>C12*D12</f>
        <v/>
      </c>
      <c r="F12" s="6">
        <f>E12*Assumptions!$B$9/100</f>
        <v/>
      </c>
      <c r="G12" s="6">
        <f>E12*Assumptions!$B$11/100-F12</f>
        <v/>
      </c>
    </row>
    <row r="13">
      <c r="A13" t="n">
        <v>8</v>
      </c>
      <c r="B13">
        <f>Assumptions!$B$8</f>
        <v/>
      </c>
      <c r="C13" s="10">
        <f>C12*(1-Assumptions!$B$10/100)+B13</f>
        <v/>
      </c>
      <c r="D13" s="6">
        <f>Assumptions!$B$13</f>
        <v/>
      </c>
      <c r="E13" s="6">
        <f>C13*D13</f>
        <v/>
      </c>
      <c r="F13" s="6">
        <f>E13*Assumptions!$B$9/100</f>
        <v/>
      </c>
      <c r="G13" s="6">
        <f>E13*Assumptions!$B$11/100-F13</f>
        <v/>
      </c>
    </row>
    <row r="14">
      <c r="A14" t="n">
        <v>9</v>
      </c>
      <c r="B14">
        <f>Assumptions!$B$8</f>
        <v/>
      </c>
      <c r="C14" s="10">
        <f>C13*(1-Assumptions!$B$10/100)+B14</f>
        <v/>
      </c>
      <c r="D14" s="6">
        <f>Assumptions!$B$13</f>
        <v/>
      </c>
      <c r="E14" s="6">
        <f>C14*D14</f>
        <v/>
      </c>
      <c r="F14" s="6">
        <f>E14*Assumptions!$B$9/100</f>
        <v/>
      </c>
      <c r="G14" s="6">
        <f>E14*Assumptions!$B$11/100-F14</f>
        <v/>
      </c>
    </row>
    <row r="15">
      <c r="A15" t="n">
        <v>10</v>
      </c>
      <c r="B15">
        <f>Assumptions!$B$8</f>
        <v/>
      </c>
      <c r="C15" s="10">
        <f>C14*(1-Assumptions!$B$10/100)+B15</f>
        <v/>
      </c>
      <c r="D15" s="6">
        <f>Assumptions!$B$13</f>
        <v/>
      </c>
      <c r="E15" s="6">
        <f>C15*D15</f>
        <v/>
      </c>
      <c r="F15" s="6">
        <f>E15*Assumptions!$B$9/100</f>
        <v/>
      </c>
      <c r="G15" s="6">
        <f>E15*Assumptions!$B$11/100-F15</f>
        <v/>
      </c>
    </row>
    <row r="16">
      <c r="A16" t="n">
        <v>11</v>
      </c>
      <c r="B16">
        <f>Assumptions!$B$8</f>
        <v/>
      </c>
      <c r="C16" s="10">
        <f>C15*(1-Assumptions!$B$10/100)+B16</f>
        <v/>
      </c>
      <c r="D16" s="6">
        <f>Assumptions!$B$13</f>
        <v/>
      </c>
      <c r="E16" s="6">
        <f>C16*D16</f>
        <v/>
      </c>
      <c r="F16" s="6">
        <f>E16*Assumptions!$B$9/100</f>
        <v/>
      </c>
      <c r="G16" s="6">
        <f>E16*Assumptions!$B$11/100-F16</f>
        <v/>
      </c>
    </row>
    <row r="17">
      <c r="A17" t="n">
        <v>12</v>
      </c>
      <c r="B17">
        <f>Assumptions!$B$8</f>
        <v/>
      </c>
      <c r="C17" s="10">
        <f>C16*(1-Assumptions!$B$10/100)+B17</f>
        <v/>
      </c>
      <c r="D17" s="6">
        <f>Assumptions!$B$13</f>
        <v/>
      </c>
      <c r="E17" s="6">
        <f>C17*D17</f>
        <v/>
      </c>
      <c r="F17" s="6">
        <f>E17*Assumptions!$B$9/100</f>
        <v/>
      </c>
      <c r="G17" s="6">
        <f>E17*Assumptions!$B$11/100-F17</f>
        <v/>
      </c>
    </row>
    <row r="18">
      <c r="A18" t="n">
        <v>13</v>
      </c>
      <c r="B18">
        <f>Assumptions!$B$8</f>
        <v/>
      </c>
      <c r="C18" s="10">
        <f>C17*(1-Assumptions!$B$10/100)+B18</f>
        <v/>
      </c>
      <c r="D18" s="6">
        <f>Assumptions!$B$13</f>
        <v/>
      </c>
      <c r="E18" s="6">
        <f>C18*D18</f>
        <v/>
      </c>
      <c r="F18" s="6">
        <f>E18*Assumptions!$B$9/100</f>
        <v/>
      </c>
      <c r="G18" s="6">
        <f>E18*Assumptions!$B$11/100-F18</f>
        <v/>
      </c>
    </row>
    <row r="19">
      <c r="A19" t="n">
        <v>14</v>
      </c>
      <c r="B19">
        <f>Assumptions!$B$8</f>
        <v/>
      </c>
      <c r="C19" s="10">
        <f>C18*(1-Assumptions!$B$10/100)+B19</f>
        <v/>
      </c>
      <c r="D19" s="6">
        <f>Assumptions!$B$13</f>
        <v/>
      </c>
      <c r="E19" s="6">
        <f>C19*D19</f>
        <v/>
      </c>
      <c r="F19" s="6">
        <f>E19*Assumptions!$B$9/100</f>
        <v/>
      </c>
      <c r="G19" s="6">
        <f>E19*Assumptions!$B$11/100-F19</f>
        <v/>
      </c>
    </row>
    <row r="20">
      <c r="A20" t="n">
        <v>15</v>
      </c>
      <c r="B20">
        <f>Assumptions!$B$8</f>
        <v/>
      </c>
      <c r="C20" s="10">
        <f>C19*(1-Assumptions!$B$10/100)+B20</f>
        <v/>
      </c>
      <c r="D20" s="6">
        <f>Assumptions!$B$13</f>
        <v/>
      </c>
      <c r="E20" s="6">
        <f>C20*D20</f>
        <v/>
      </c>
      <c r="F20" s="6">
        <f>E20*Assumptions!$B$9/100</f>
        <v/>
      </c>
      <c r="G20" s="6">
        <f>E20*Assumptions!$B$11/100-F20</f>
        <v/>
      </c>
    </row>
    <row r="21">
      <c r="A21" t="n">
        <v>16</v>
      </c>
      <c r="B21">
        <f>Assumptions!$B$8</f>
        <v/>
      </c>
      <c r="C21" s="10">
        <f>C20*(1-Assumptions!$B$10/100)+B21</f>
        <v/>
      </c>
      <c r="D21" s="6">
        <f>Assumptions!$B$13</f>
        <v/>
      </c>
      <c r="E21" s="6">
        <f>C21*D21</f>
        <v/>
      </c>
      <c r="F21" s="6">
        <f>E21*Assumptions!$B$9/100</f>
        <v/>
      </c>
      <c r="G21" s="6">
        <f>E21*Assumptions!$B$11/100-F21</f>
        <v/>
      </c>
    </row>
    <row r="22">
      <c r="A22" t="n">
        <v>17</v>
      </c>
      <c r="B22">
        <f>Assumptions!$B$8</f>
        <v/>
      </c>
      <c r="C22" s="10">
        <f>C21*(1-Assumptions!$B$10/100)+B22</f>
        <v/>
      </c>
      <c r="D22" s="6">
        <f>Assumptions!$B$13</f>
        <v/>
      </c>
      <c r="E22" s="6">
        <f>C22*D22</f>
        <v/>
      </c>
      <c r="F22" s="6">
        <f>E22*Assumptions!$B$9/100</f>
        <v/>
      </c>
      <c r="G22" s="6">
        <f>E22*Assumptions!$B$11/100-F22</f>
        <v/>
      </c>
    </row>
    <row r="23">
      <c r="A23" t="n">
        <v>18</v>
      </c>
      <c r="B23">
        <f>Assumptions!$B$8</f>
        <v/>
      </c>
      <c r="C23" s="10">
        <f>C22*(1-Assumptions!$B$10/100)+B23</f>
        <v/>
      </c>
      <c r="D23" s="6">
        <f>Assumptions!$B$13</f>
        <v/>
      </c>
      <c r="E23" s="6">
        <f>C23*D23</f>
        <v/>
      </c>
      <c r="F23" s="6">
        <f>E23*Assumptions!$B$9/100</f>
        <v/>
      </c>
      <c r="G23" s="6">
        <f>E23*Assumptions!$B$11/100-F23</f>
        <v/>
      </c>
    </row>
    <row r="24">
      <c r="A24" t="n">
        <v>19</v>
      </c>
      <c r="B24">
        <f>Assumptions!$B$8</f>
        <v/>
      </c>
      <c r="C24" s="10">
        <f>C23*(1-Assumptions!$B$10/100)+B24</f>
        <v/>
      </c>
      <c r="D24" s="6">
        <f>Assumptions!$B$13</f>
        <v/>
      </c>
      <c r="E24" s="6">
        <f>C24*D24</f>
        <v/>
      </c>
      <c r="F24" s="6">
        <f>E24*Assumptions!$B$9/100</f>
        <v/>
      </c>
      <c r="G24" s="6">
        <f>E24*Assumptions!$B$11/100-F24</f>
        <v/>
      </c>
    </row>
    <row r="25">
      <c r="A25" t="n">
        <v>20</v>
      </c>
      <c r="B25">
        <f>Assumptions!$B$8</f>
        <v/>
      </c>
      <c r="C25" s="10">
        <f>C24*(1-Assumptions!$B$10/100)+B25</f>
        <v/>
      </c>
      <c r="D25" s="6">
        <f>Assumptions!$B$13</f>
        <v/>
      </c>
      <c r="E25" s="6">
        <f>C25*D25</f>
        <v/>
      </c>
      <c r="F25" s="6">
        <f>E25*Assumptions!$B$9/100</f>
        <v/>
      </c>
      <c r="G25" s="6">
        <f>E25*Assumptions!$B$11/100-F25</f>
        <v/>
      </c>
    </row>
    <row r="26">
      <c r="A26" t="n">
        <v>21</v>
      </c>
      <c r="B26">
        <f>Assumptions!$B$8</f>
        <v/>
      </c>
      <c r="C26" s="10">
        <f>C25*(1-Assumptions!$B$10/100)+B26</f>
        <v/>
      </c>
      <c r="D26" s="6">
        <f>Assumptions!$B$13</f>
        <v/>
      </c>
      <c r="E26" s="6">
        <f>C26*D26</f>
        <v/>
      </c>
      <c r="F26" s="6">
        <f>E26*Assumptions!$B$9/100</f>
        <v/>
      </c>
      <c r="G26" s="6">
        <f>E26*Assumptions!$B$11/100-F26</f>
        <v/>
      </c>
    </row>
    <row r="27">
      <c r="A27" t="n">
        <v>22</v>
      </c>
      <c r="B27">
        <f>Assumptions!$B$8</f>
        <v/>
      </c>
      <c r="C27" s="10">
        <f>C26*(1-Assumptions!$B$10/100)+B27</f>
        <v/>
      </c>
      <c r="D27" s="6">
        <f>Assumptions!$B$13</f>
        <v/>
      </c>
      <c r="E27" s="6">
        <f>C27*D27</f>
        <v/>
      </c>
      <c r="F27" s="6">
        <f>E27*Assumptions!$B$9/100</f>
        <v/>
      </c>
      <c r="G27" s="6">
        <f>E27*Assumptions!$B$11/100-F27</f>
        <v/>
      </c>
    </row>
    <row r="28">
      <c r="A28" t="n">
        <v>23</v>
      </c>
      <c r="B28">
        <f>Assumptions!$B$8</f>
        <v/>
      </c>
      <c r="C28" s="10">
        <f>C27*(1-Assumptions!$B$10/100)+B28</f>
        <v/>
      </c>
      <c r="D28" s="6">
        <f>Assumptions!$B$13</f>
        <v/>
      </c>
      <c r="E28" s="6">
        <f>C28*D28</f>
        <v/>
      </c>
      <c r="F28" s="6">
        <f>E28*Assumptions!$B$9/100</f>
        <v/>
      </c>
      <c r="G28" s="6">
        <f>E28*Assumptions!$B$11/100-F28</f>
        <v/>
      </c>
    </row>
    <row r="29">
      <c r="A29" t="n">
        <v>24</v>
      </c>
      <c r="B29">
        <f>Assumptions!$B$8</f>
        <v/>
      </c>
      <c r="C29" s="10">
        <f>C28*(1-Assumptions!$B$10/100)+B29</f>
        <v/>
      </c>
      <c r="D29" s="6">
        <f>Assumptions!$B$13</f>
        <v/>
      </c>
      <c r="E29" s="6">
        <f>C29*D29</f>
        <v/>
      </c>
      <c r="F29" s="6">
        <f>E29*Assumptions!$B$9/100</f>
        <v/>
      </c>
      <c r="G29" s="6">
        <f>E29*Assumptions!$B$11/100-F29</f>
        <v/>
      </c>
    </row>
    <row r="31">
      <c r="A31" s="4" t="inlineStr">
        <is>
          <t>Year-1 commission</t>
        </is>
      </c>
      <c r="F31" s="6">
        <f>SUM(F6:F17)</f>
        <v/>
      </c>
    </row>
    <row r="32">
      <c r="A32" s="4" t="inlineStr">
        <is>
          <t>Year-2 commission</t>
        </is>
      </c>
      <c r="F32" s="6">
        <f>SUM(F18:F29)</f>
        <v/>
      </c>
    </row>
    <row r="33">
      <c r="A33" s="4" t="inlineStr">
        <is>
          <t>Exit run-rate (mo 12 × 12)</t>
        </is>
      </c>
      <c r="F33" s="6">
        <f>F17*12</f>
        <v/>
      </c>
    </row>
    <row r="34">
      <c r="A34" s="4" t="inlineStr">
        <is>
          <t>Year-1 JHI GM after commission</t>
        </is>
      </c>
      <c r="G34" s="6">
        <f>SUM(G6:G17)</f>
        <v/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Year-1 commission by Tier 1 / Tier 2 mix</t>
        </is>
      </c>
    </row>
    <row r="3">
      <c r="A3" s="3" t="inlineStr">
        <is>
          <t>generated 2026-07-12  ·  JHI-SIG: 69M2705M</t>
        </is>
      </c>
    </row>
    <row r="5">
      <c r="A5" s="3" t="inlineStr">
        <is>
          <t>Ramp basis: 100 closes/mo → sub-months = closes × (1+2+…+12) = closes × 78 (no churn).</t>
        </is>
      </c>
    </row>
    <row r="7">
      <c r="A7" s="1" t="inlineStr">
        <is>
          <t>Mix (T1 / T2)</t>
        </is>
      </c>
      <c r="B7" s="1" t="inlineStr">
        <is>
          <t>Avg MRR</t>
        </is>
      </c>
      <c r="C7" s="1" t="inlineStr">
        <is>
          <t>Year-1 commission</t>
        </is>
      </c>
      <c r="D7" s="1" t="inlineStr">
        <is>
          <t>Exit run-rate (yr)</t>
        </is>
      </c>
    </row>
    <row r="8">
      <c r="A8" s="4" t="inlineStr">
        <is>
          <t>0% / 100%</t>
        </is>
      </c>
      <c r="B8" s="6">
        <f>Assumptions!$B$5*0/100+Assumptions!$B$6*(1-0/100)</f>
        <v/>
      </c>
      <c r="C8" s="6">
        <f>Assumptions!$B$9/100*B8*Assumptions!$B$8*78</f>
        <v/>
      </c>
      <c r="D8" s="6">
        <f>Assumptions!$B$8*12*B8*Assumptions!$B$9/100*12</f>
        <v/>
      </c>
    </row>
    <row r="9">
      <c r="A9" s="4" t="inlineStr">
        <is>
          <t>10% / 90%</t>
        </is>
      </c>
      <c r="B9" s="6">
        <f>Assumptions!$B$5*10/100+Assumptions!$B$6*(1-10/100)</f>
        <v/>
      </c>
      <c r="C9" s="6">
        <f>Assumptions!$B$9/100*B9*Assumptions!$B$8*78</f>
        <v/>
      </c>
      <c r="D9" s="6">
        <f>Assumptions!$B$8*12*B9*Assumptions!$B$9/100*12</f>
        <v/>
      </c>
    </row>
    <row r="10">
      <c r="A10" s="4" t="inlineStr">
        <is>
          <t>20% / 80%</t>
        </is>
      </c>
      <c r="B10" s="6">
        <f>Assumptions!$B$5*20/100+Assumptions!$B$6*(1-20/100)</f>
        <v/>
      </c>
      <c r="C10" s="6">
        <f>Assumptions!$B$9/100*B10*Assumptions!$B$8*78</f>
        <v/>
      </c>
      <c r="D10" s="6">
        <f>Assumptions!$B$8*12*B10*Assumptions!$B$9/100*12</f>
        <v/>
      </c>
    </row>
    <row r="12">
      <c r="A12" s="3" t="inlineStr">
        <is>
          <t>~All-Tier-2 Year-1 ≈ $233K (a light Tier-1 sprinkle → ~$236K).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Year-1 EBITDA by Tier 1 / Tier 2 mix</t>
        </is>
      </c>
    </row>
    <row r="3">
      <c r="A3" s="3" t="inlineStr">
        <is>
          <t>generated 2026-07-12  ·  JHI-SIG: 69M2705M</t>
        </is>
      </c>
    </row>
    <row r="5">
      <c r="A5" s="3" t="inlineStr">
        <is>
          <t>Same 100/mo ramp (7,800 sub-months). Aggressive 'ceiling' scenario — see notes.</t>
        </is>
      </c>
    </row>
    <row r="6">
      <c r="A6" s="4" t="inlineStr">
        <is>
          <t>Tier-1 mix %</t>
        </is>
      </c>
      <c r="B6" s="4" t="n">
        <v>0</v>
      </c>
      <c r="C6" s="4" t="n">
        <v>10</v>
      </c>
      <c r="D6" s="4" t="n">
        <v>20</v>
      </c>
    </row>
    <row r="7">
      <c r="A7" t="inlineStr">
        <is>
          <t>Avg MRR / sub</t>
        </is>
      </c>
      <c r="B7" s="6">
        <f>Assumptions!$B$5*B6/100+Assumptions!$B$6*(1-B6/100)</f>
        <v/>
      </c>
      <c r="C7" s="6">
        <f>Assumptions!$B$5*C6/100+Assumptions!$B$6*(1-C6/100)</f>
        <v/>
      </c>
      <c r="D7" s="6">
        <f>Assumptions!$B$5*D6/100+Assumptions!$B$6*(1-D6/100)</f>
        <v/>
      </c>
    </row>
    <row r="8">
      <c r="A8" s="4" t="inlineStr">
        <is>
          <t>Revenue (Year-1)</t>
        </is>
      </c>
      <c r="B8" s="6">
        <f>B7*Assumptions!$B$8*78</f>
        <v/>
      </c>
      <c r="C8" s="6">
        <f>C7*Assumptions!$B$8*78</f>
        <v/>
      </c>
      <c r="D8" s="6">
        <f>D7*Assumptions!$B$8*78</f>
        <v/>
      </c>
    </row>
    <row r="9">
      <c r="A9" t="inlineStr">
        <is>
          <t>COGS (proc+infra % + SF1)</t>
        </is>
      </c>
      <c r="B9" s="6">
        <f>B8*(Assumptions!$B$16+Assumptions!$B$17)/100+Assumptions!$B$18</f>
        <v/>
      </c>
      <c r="C9" s="6">
        <f>C8*(Assumptions!$B$16+Assumptions!$B$17)/100+Assumptions!$B$18</f>
        <v/>
      </c>
      <c r="D9" s="6">
        <f>D8*(Assumptions!$B$16+Assumptions!$B$17)/100+Assumptions!$B$18</f>
        <v/>
      </c>
    </row>
    <row r="10">
      <c r="A10" s="4" t="inlineStr">
        <is>
          <t>Gross profit</t>
        </is>
      </c>
      <c r="B10" s="6">
        <f>B8-B9</f>
        <v/>
      </c>
      <c r="C10" s="6">
        <f>C8-C9</f>
        <v/>
      </c>
      <c r="D10" s="6">
        <f>D8-D9</f>
        <v/>
      </c>
    </row>
    <row r="11">
      <c r="A11" t="inlineStr">
        <is>
          <t>Sales commission (residual)</t>
        </is>
      </c>
      <c r="B11" s="6">
        <f>B8*Assumptions!$B$9/100</f>
        <v/>
      </c>
      <c r="C11" s="6">
        <f>C8*Assumptions!$B$9/100</f>
        <v/>
      </c>
      <c r="D11" s="6">
        <f>D8*Assumptions!$B$9/100</f>
        <v/>
      </c>
    </row>
    <row r="12">
      <c r="A12" t="inlineStr">
        <is>
          <t>Marketing</t>
        </is>
      </c>
      <c r="B12" s="6">
        <f>Assumptions!$B$19</f>
        <v/>
      </c>
      <c r="C12" s="6">
        <f>Assumptions!$B$19</f>
        <v/>
      </c>
      <c r="D12" s="6">
        <f>Assumptions!$B$19</f>
        <v/>
      </c>
    </row>
    <row r="13">
      <c r="A13" t="inlineStr">
        <is>
          <t>Legal &amp; accounting</t>
        </is>
      </c>
      <c r="B13" s="6">
        <f>Assumptions!$B$20</f>
        <v/>
      </c>
      <c r="C13" s="6">
        <f>Assumptions!$B$20</f>
        <v/>
      </c>
      <c r="D13" s="6">
        <f>Assumptions!$B$20</f>
        <v/>
      </c>
    </row>
    <row r="14">
      <c r="A14" t="inlineStr">
        <is>
          <t>Software &amp; AI tools</t>
        </is>
      </c>
      <c r="B14" s="6">
        <f>Assumptions!$B$21</f>
        <v/>
      </c>
      <c r="C14" s="6">
        <f>Assumptions!$B$21</f>
        <v/>
      </c>
      <c r="D14" s="6">
        <f>Assumptions!$B$21</f>
        <v/>
      </c>
    </row>
    <row r="15">
      <c r="A15" t="inlineStr">
        <is>
          <t>Founder / ops comp</t>
        </is>
      </c>
      <c r="B15" s="6">
        <f>Assumptions!$B$22</f>
        <v/>
      </c>
      <c r="C15" s="6">
        <f>Assumptions!$B$22</f>
        <v/>
      </c>
      <c r="D15" s="6">
        <f>Assumptions!$B$22</f>
        <v/>
      </c>
    </row>
    <row r="16">
      <c r="A16" s="4" t="inlineStr">
        <is>
          <t>Total operating expenses</t>
        </is>
      </c>
      <c r="B16" s="6">
        <f>SUM(B11:B15)</f>
        <v/>
      </c>
      <c r="C16" s="6">
        <f>SUM(C11:C15)</f>
        <v/>
      </c>
      <c r="D16" s="6">
        <f>SUM(D11:D15)</f>
        <v/>
      </c>
    </row>
    <row r="17">
      <c r="A17" s="4" t="inlineStr">
        <is>
          <t>EBITDA</t>
        </is>
      </c>
      <c r="B17" s="11">
        <f>B10-B16</f>
        <v/>
      </c>
      <c r="C17" s="11">
        <f>C10-C16</f>
        <v/>
      </c>
      <c r="D17" s="11">
        <f>D10-D16</f>
        <v/>
      </c>
    </row>
    <row r="18">
      <c r="A18" t="inlineStr">
        <is>
          <t>EBITDA margin</t>
        </is>
      </c>
      <c r="B18" s="12">
        <f>IF(B8=0,0,B17/B8)</f>
        <v/>
      </c>
      <c r="C18" s="12">
        <f>IF(C8=0,0,C17/C8)</f>
        <v/>
      </c>
      <c r="D18" s="12">
        <f>IF(D8=0,0,D17/D8)</f>
        <v/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Year-1 monthly EBITDA &amp; operating-cost statement</t>
        </is>
      </c>
    </row>
    <row r="3">
      <c r="A3" s="3" t="inlineStr">
        <is>
          <t>generated 2026-07-12  ·  JHI-SIG: 69M2705M</t>
        </is>
      </c>
    </row>
    <row r="4">
      <c r="A4" s="3" t="inlineStr">
        <is>
          <t>Fixed annual costs spread /12; variable costs scale with revenue. Ramp = closes/mo from Assumptions; churn per Assumptions.</t>
        </is>
      </c>
    </row>
    <row r="5">
      <c r="A5" s="1" t="inlineStr">
        <is>
          <t>$ per month</t>
        </is>
      </c>
      <c r="B5" s="13" t="inlineStr">
        <is>
          <t>Mo 1</t>
        </is>
      </c>
      <c r="C5" s="13" t="inlineStr">
        <is>
          <t>Mo 2</t>
        </is>
      </c>
      <c r="D5" s="13" t="inlineStr">
        <is>
          <t>Mo 3</t>
        </is>
      </c>
      <c r="E5" s="13" t="inlineStr">
        <is>
          <t>Mo 4</t>
        </is>
      </c>
      <c r="F5" s="13" t="inlineStr">
        <is>
          <t>Mo 5</t>
        </is>
      </c>
      <c r="G5" s="13" t="inlineStr">
        <is>
          <t>Mo 6</t>
        </is>
      </c>
      <c r="H5" s="13" t="inlineStr">
        <is>
          <t>Mo 7</t>
        </is>
      </c>
      <c r="I5" s="13" t="inlineStr">
        <is>
          <t>Mo 8</t>
        </is>
      </c>
      <c r="J5" s="13" t="inlineStr">
        <is>
          <t>Mo 9</t>
        </is>
      </c>
      <c r="K5" s="13" t="inlineStr">
        <is>
          <t>Mo 10</t>
        </is>
      </c>
      <c r="L5" s="13" t="inlineStr">
        <is>
          <t>Mo 11</t>
        </is>
      </c>
      <c r="M5" s="13" t="inlineStr">
        <is>
          <t>Mo 12</t>
        </is>
      </c>
      <c r="N5" s="13" t="inlineStr">
        <is>
          <t>Year 1</t>
        </is>
      </c>
    </row>
    <row r="6">
      <c r="A6" t="inlineStr">
        <is>
          <t>New subscriptions</t>
        </is>
      </c>
      <c r="B6" s="10">
        <f>Assumptions!$B$8</f>
        <v/>
      </c>
      <c r="C6" s="10">
        <f>Assumptions!$B$8</f>
        <v/>
      </c>
      <c r="D6" s="10">
        <f>Assumptions!$B$8</f>
        <v/>
      </c>
      <c r="E6" s="10">
        <f>Assumptions!$B$8</f>
        <v/>
      </c>
      <c r="F6" s="10">
        <f>Assumptions!$B$8</f>
        <v/>
      </c>
      <c r="G6" s="10">
        <f>Assumptions!$B$8</f>
        <v/>
      </c>
      <c r="H6" s="10">
        <f>Assumptions!$B$8</f>
        <v/>
      </c>
      <c r="I6" s="10">
        <f>Assumptions!$B$8</f>
        <v/>
      </c>
      <c r="J6" s="10">
        <f>Assumptions!$B$8</f>
        <v/>
      </c>
      <c r="K6" s="10">
        <f>Assumptions!$B$8</f>
        <v/>
      </c>
      <c r="L6" s="10">
        <f>Assumptions!$B$8</f>
        <v/>
      </c>
      <c r="M6" s="10">
        <f>Assumptions!$B$8</f>
        <v/>
      </c>
      <c r="N6" s="10">
        <f>SUM(B6:M6)</f>
        <v/>
      </c>
    </row>
    <row r="7">
      <c r="A7" t="inlineStr">
        <is>
          <t>Active subscriptions</t>
        </is>
      </c>
      <c r="B7" s="10">
        <f>B6</f>
        <v/>
      </c>
      <c r="C7" s="10">
        <f>B7*(1-Assumptions!$B$10/100)+C6</f>
        <v/>
      </c>
      <c r="D7" s="10">
        <f>C7*(1-Assumptions!$B$10/100)+D6</f>
        <v/>
      </c>
      <c r="E7" s="10">
        <f>D7*(1-Assumptions!$B$10/100)+E6</f>
        <v/>
      </c>
      <c r="F7" s="10">
        <f>E7*(1-Assumptions!$B$10/100)+F6</f>
        <v/>
      </c>
      <c r="G7" s="10">
        <f>F7*(1-Assumptions!$B$10/100)+G6</f>
        <v/>
      </c>
      <c r="H7" s="10">
        <f>G7*(1-Assumptions!$B$10/100)+H6</f>
        <v/>
      </c>
      <c r="I7" s="10">
        <f>H7*(1-Assumptions!$B$10/100)+I6</f>
        <v/>
      </c>
      <c r="J7" s="10">
        <f>I7*(1-Assumptions!$B$10/100)+J6</f>
        <v/>
      </c>
      <c r="K7" s="10">
        <f>J7*(1-Assumptions!$B$10/100)+K6</f>
        <v/>
      </c>
      <c r="L7" s="10">
        <f>K7*(1-Assumptions!$B$10/100)+L6</f>
        <v/>
      </c>
      <c r="M7" s="10">
        <f>L7*(1-Assumptions!$B$10/100)+M6</f>
        <v/>
      </c>
      <c r="N7" s="10">
        <f>M7</f>
        <v/>
      </c>
    </row>
    <row r="8">
      <c r="A8" s="4" t="inlineStr">
        <is>
          <t>Billed MRR (revenue)</t>
        </is>
      </c>
      <c r="B8" s="6">
        <f>B7*Assumptions!$B$13</f>
        <v/>
      </c>
      <c r="C8" s="6">
        <f>C7*Assumptions!$B$13</f>
        <v/>
      </c>
      <c r="D8" s="6">
        <f>D7*Assumptions!$B$13</f>
        <v/>
      </c>
      <c r="E8" s="6">
        <f>E7*Assumptions!$B$13</f>
        <v/>
      </c>
      <c r="F8" s="6">
        <f>F7*Assumptions!$B$13</f>
        <v/>
      </c>
      <c r="G8" s="6">
        <f>G7*Assumptions!$B$13</f>
        <v/>
      </c>
      <c r="H8" s="6">
        <f>H7*Assumptions!$B$13</f>
        <v/>
      </c>
      <c r="I8" s="6">
        <f>I7*Assumptions!$B$13</f>
        <v/>
      </c>
      <c r="J8" s="6">
        <f>J7*Assumptions!$B$13</f>
        <v/>
      </c>
      <c r="K8" s="6">
        <f>K7*Assumptions!$B$13</f>
        <v/>
      </c>
      <c r="L8" s="6">
        <f>L7*Assumptions!$B$13</f>
        <v/>
      </c>
      <c r="M8" s="6">
        <f>M7*Assumptions!$B$13</f>
        <v/>
      </c>
      <c r="N8" s="11">
        <f>SUM(B8:M8)</f>
        <v/>
      </c>
    </row>
    <row r="9">
      <c r="A9" t="inlineStr">
        <is>
          <t xml:space="preserve">  Payment processing</t>
        </is>
      </c>
      <c r="B9" s="6">
        <f>B8*Assumptions!$B$16/100</f>
        <v/>
      </c>
      <c r="C9" s="6">
        <f>C8*Assumptions!$B$16/100</f>
        <v/>
      </c>
      <c r="D9" s="6">
        <f>D8*Assumptions!$B$16/100</f>
        <v/>
      </c>
      <c r="E9" s="6">
        <f>E8*Assumptions!$B$16/100</f>
        <v/>
      </c>
      <c r="F9" s="6">
        <f>F8*Assumptions!$B$16/100</f>
        <v/>
      </c>
      <c r="G9" s="6">
        <f>G8*Assumptions!$B$16/100</f>
        <v/>
      </c>
      <c r="H9" s="6">
        <f>H8*Assumptions!$B$16/100</f>
        <v/>
      </c>
      <c r="I9" s="6">
        <f>I8*Assumptions!$B$16/100</f>
        <v/>
      </c>
      <c r="J9" s="6">
        <f>J8*Assumptions!$B$16/100</f>
        <v/>
      </c>
      <c r="K9" s="6">
        <f>K8*Assumptions!$B$16/100</f>
        <v/>
      </c>
      <c r="L9" s="6">
        <f>L8*Assumptions!$B$16/100</f>
        <v/>
      </c>
      <c r="M9" s="6">
        <f>M8*Assumptions!$B$16/100</f>
        <v/>
      </c>
      <c r="N9" s="6">
        <f>SUM(B9:M9)</f>
        <v/>
      </c>
    </row>
    <row r="10">
      <c r="A10" t="inlineStr">
        <is>
          <t xml:space="preserve">  Infrastructure &amp; support</t>
        </is>
      </c>
      <c r="B10" s="6">
        <f>B8*Assumptions!$B$17/100</f>
        <v/>
      </c>
      <c r="C10" s="6">
        <f>C8*Assumptions!$B$17/100</f>
        <v/>
      </c>
      <c r="D10" s="6">
        <f>D8*Assumptions!$B$17/100</f>
        <v/>
      </c>
      <c r="E10" s="6">
        <f>E8*Assumptions!$B$17/100</f>
        <v/>
      </c>
      <c r="F10" s="6">
        <f>F8*Assumptions!$B$17/100</f>
        <v/>
      </c>
      <c r="G10" s="6">
        <f>G8*Assumptions!$B$17/100</f>
        <v/>
      </c>
      <c r="H10" s="6">
        <f>H8*Assumptions!$B$17/100</f>
        <v/>
      </c>
      <c r="I10" s="6">
        <f>I8*Assumptions!$B$17/100</f>
        <v/>
      </c>
      <c r="J10" s="6">
        <f>J8*Assumptions!$B$17/100</f>
        <v/>
      </c>
      <c r="K10" s="6">
        <f>K8*Assumptions!$B$17/100</f>
        <v/>
      </c>
      <c r="L10" s="6">
        <f>L8*Assumptions!$B$17/100</f>
        <v/>
      </c>
      <c r="M10" s="6">
        <f>M8*Assumptions!$B$17/100</f>
        <v/>
      </c>
      <c r="N10" s="6">
        <f>SUM(B10:M10)</f>
        <v/>
      </c>
    </row>
    <row r="11">
      <c r="A11" t="inlineStr">
        <is>
          <t xml:space="preserve">  Data license (SF1)</t>
        </is>
      </c>
      <c r="B11" s="6">
        <f>Assumptions!$B$18/12</f>
        <v/>
      </c>
      <c r="C11" s="6">
        <f>Assumptions!$B$18/12</f>
        <v/>
      </c>
      <c r="D11" s="6">
        <f>Assumptions!$B$18/12</f>
        <v/>
      </c>
      <c r="E11" s="6">
        <f>Assumptions!$B$18/12</f>
        <v/>
      </c>
      <c r="F11" s="6">
        <f>Assumptions!$B$18/12</f>
        <v/>
      </c>
      <c r="G11" s="6">
        <f>Assumptions!$B$18/12</f>
        <v/>
      </c>
      <c r="H11" s="6">
        <f>Assumptions!$B$18/12</f>
        <v/>
      </c>
      <c r="I11" s="6">
        <f>Assumptions!$B$18/12</f>
        <v/>
      </c>
      <c r="J11" s="6">
        <f>Assumptions!$B$18/12</f>
        <v/>
      </c>
      <c r="K11" s="6">
        <f>Assumptions!$B$18/12</f>
        <v/>
      </c>
      <c r="L11" s="6">
        <f>Assumptions!$B$18/12</f>
        <v/>
      </c>
      <c r="M11" s="6">
        <f>Assumptions!$B$18/12</f>
        <v/>
      </c>
      <c r="N11" s="6">
        <f>SUM(B11:M11)</f>
        <v/>
      </c>
    </row>
    <row r="12">
      <c r="A12" t="inlineStr">
        <is>
          <t>Total COGS</t>
        </is>
      </c>
      <c r="B12" s="6">
        <f>SUM(B9:B11)</f>
        <v/>
      </c>
      <c r="C12" s="6">
        <f>SUM(C9:C11)</f>
        <v/>
      </c>
      <c r="D12" s="6">
        <f>SUM(D9:D11)</f>
        <v/>
      </c>
      <c r="E12" s="6">
        <f>SUM(E9:E11)</f>
        <v/>
      </c>
      <c r="F12" s="6">
        <f>SUM(F9:F11)</f>
        <v/>
      </c>
      <c r="G12" s="6">
        <f>SUM(G9:G11)</f>
        <v/>
      </c>
      <c r="H12" s="6">
        <f>SUM(H9:H11)</f>
        <v/>
      </c>
      <c r="I12" s="6">
        <f>SUM(I9:I11)</f>
        <v/>
      </c>
      <c r="J12" s="6">
        <f>SUM(J9:J11)</f>
        <v/>
      </c>
      <c r="K12" s="6">
        <f>SUM(K9:K11)</f>
        <v/>
      </c>
      <c r="L12" s="6">
        <f>SUM(L9:L11)</f>
        <v/>
      </c>
      <c r="M12" s="6">
        <f>SUM(M9:M11)</f>
        <v/>
      </c>
      <c r="N12" s="6">
        <f>SUM(B12:M12)</f>
        <v/>
      </c>
    </row>
    <row r="13">
      <c r="A13" s="4" t="inlineStr">
        <is>
          <t>Gross profit</t>
        </is>
      </c>
      <c r="B13" s="6">
        <f>B8-B12</f>
        <v/>
      </c>
      <c r="C13" s="6">
        <f>C8-C12</f>
        <v/>
      </c>
      <c r="D13" s="6">
        <f>D8-D12</f>
        <v/>
      </c>
      <c r="E13" s="6">
        <f>E8-E12</f>
        <v/>
      </c>
      <c r="F13" s="6">
        <f>F8-F12</f>
        <v/>
      </c>
      <c r="G13" s="6">
        <f>G8-G12</f>
        <v/>
      </c>
      <c r="H13" s="6">
        <f>H8-H12</f>
        <v/>
      </c>
      <c r="I13" s="6">
        <f>I8-I12</f>
        <v/>
      </c>
      <c r="J13" s="6">
        <f>J8-J12</f>
        <v/>
      </c>
      <c r="K13" s="6">
        <f>K8-K12</f>
        <v/>
      </c>
      <c r="L13" s="6">
        <f>L8-L12</f>
        <v/>
      </c>
      <c r="M13" s="6">
        <f>M8-M12</f>
        <v/>
      </c>
      <c r="N13" s="11">
        <f>SUM(B13:M13)</f>
        <v/>
      </c>
    </row>
    <row r="14">
      <c r="A14" t="inlineStr">
        <is>
          <t xml:space="preserve">  Sales commission (residual)</t>
        </is>
      </c>
      <c r="B14" s="6">
        <f>B8*Assumptions!$B$9/100</f>
        <v/>
      </c>
      <c r="C14" s="6">
        <f>C8*Assumptions!$B$9/100</f>
        <v/>
      </c>
      <c r="D14" s="6">
        <f>D8*Assumptions!$B$9/100</f>
        <v/>
      </c>
      <c r="E14" s="6">
        <f>E8*Assumptions!$B$9/100</f>
        <v/>
      </c>
      <c r="F14" s="6">
        <f>F8*Assumptions!$B$9/100</f>
        <v/>
      </c>
      <c r="G14" s="6">
        <f>G8*Assumptions!$B$9/100</f>
        <v/>
      </c>
      <c r="H14" s="6">
        <f>H8*Assumptions!$B$9/100</f>
        <v/>
      </c>
      <c r="I14" s="6">
        <f>I8*Assumptions!$B$9/100</f>
        <v/>
      </c>
      <c r="J14" s="6">
        <f>J8*Assumptions!$B$9/100</f>
        <v/>
      </c>
      <c r="K14" s="6">
        <f>K8*Assumptions!$B$9/100</f>
        <v/>
      </c>
      <c r="L14" s="6">
        <f>L8*Assumptions!$B$9/100</f>
        <v/>
      </c>
      <c r="M14" s="6">
        <f>M8*Assumptions!$B$9/100</f>
        <v/>
      </c>
      <c r="N14" s="6">
        <f>SUM(B14:M14)</f>
        <v/>
      </c>
    </row>
    <row r="15">
      <c r="A15" t="inlineStr">
        <is>
          <t xml:space="preserve">  Marketing</t>
        </is>
      </c>
      <c r="B15" s="6">
        <f>Assumptions!$B$19/12</f>
        <v/>
      </c>
      <c r="C15" s="6">
        <f>Assumptions!$B$19/12</f>
        <v/>
      </c>
      <c r="D15" s="6">
        <f>Assumptions!$B$19/12</f>
        <v/>
      </c>
      <c r="E15" s="6">
        <f>Assumptions!$B$19/12</f>
        <v/>
      </c>
      <c r="F15" s="6">
        <f>Assumptions!$B$19/12</f>
        <v/>
      </c>
      <c r="G15" s="6">
        <f>Assumptions!$B$19/12</f>
        <v/>
      </c>
      <c r="H15" s="6">
        <f>Assumptions!$B$19/12</f>
        <v/>
      </c>
      <c r="I15" s="6">
        <f>Assumptions!$B$19/12</f>
        <v/>
      </c>
      <c r="J15" s="6">
        <f>Assumptions!$B$19/12</f>
        <v/>
      </c>
      <c r="K15" s="6">
        <f>Assumptions!$B$19/12</f>
        <v/>
      </c>
      <c r="L15" s="6">
        <f>Assumptions!$B$19/12</f>
        <v/>
      </c>
      <c r="M15" s="6">
        <f>Assumptions!$B$19/12</f>
        <v/>
      </c>
      <c r="N15" s="6">
        <f>SUM(B15:M15)</f>
        <v/>
      </c>
    </row>
    <row r="16">
      <c r="A16" t="inlineStr">
        <is>
          <t xml:space="preserve">  Legal &amp; accounting</t>
        </is>
      </c>
      <c r="B16" s="6">
        <f>Assumptions!$B$20/12</f>
        <v/>
      </c>
      <c r="C16" s="6">
        <f>Assumptions!$B$20/12</f>
        <v/>
      </c>
      <c r="D16" s="6">
        <f>Assumptions!$B$20/12</f>
        <v/>
      </c>
      <c r="E16" s="6">
        <f>Assumptions!$B$20/12</f>
        <v/>
      </c>
      <c r="F16" s="6">
        <f>Assumptions!$B$20/12</f>
        <v/>
      </c>
      <c r="G16" s="6">
        <f>Assumptions!$B$20/12</f>
        <v/>
      </c>
      <c r="H16" s="6">
        <f>Assumptions!$B$20/12</f>
        <v/>
      </c>
      <c r="I16" s="6">
        <f>Assumptions!$B$20/12</f>
        <v/>
      </c>
      <c r="J16" s="6">
        <f>Assumptions!$B$20/12</f>
        <v/>
      </c>
      <c r="K16" s="6">
        <f>Assumptions!$B$20/12</f>
        <v/>
      </c>
      <c r="L16" s="6">
        <f>Assumptions!$B$20/12</f>
        <v/>
      </c>
      <c r="M16" s="6">
        <f>Assumptions!$B$20/12</f>
        <v/>
      </c>
      <c r="N16" s="6">
        <f>SUM(B16:M16)</f>
        <v/>
      </c>
    </row>
    <row r="17">
      <c r="A17" t="inlineStr">
        <is>
          <t xml:space="preserve">  Software &amp; AI tools</t>
        </is>
      </c>
      <c r="B17" s="6">
        <f>Assumptions!$B$21/12</f>
        <v/>
      </c>
      <c r="C17" s="6">
        <f>Assumptions!$B$21/12</f>
        <v/>
      </c>
      <c r="D17" s="6">
        <f>Assumptions!$B$21/12</f>
        <v/>
      </c>
      <c r="E17" s="6">
        <f>Assumptions!$B$21/12</f>
        <v/>
      </c>
      <c r="F17" s="6">
        <f>Assumptions!$B$21/12</f>
        <v/>
      </c>
      <c r="G17" s="6">
        <f>Assumptions!$B$21/12</f>
        <v/>
      </c>
      <c r="H17" s="6">
        <f>Assumptions!$B$21/12</f>
        <v/>
      </c>
      <c r="I17" s="6">
        <f>Assumptions!$B$21/12</f>
        <v/>
      </c>
      <c r="J17" s="6">
        <f>Assumptions!$B$21/12</f>
        <v/>
      </c>
      <c r="K17" s="6">
        <f>Assumptions!$B$21/12</f>
        <v/>
      </c>
      <c r="L17" s="6">
        <f>Assumptions!$B$21/12</f>
        <v/>
      </c>
      <c r="M17" s="6">
        <f>Assumptions!$B$21/12</f>
        <v/>
      </c>
      <c r="N17" s="6">
        <f>SUM(B17:M17)</f>
        <v/>
      </c>
    </row>
    <row r="18">
      <c r="A18" t="inlineStr">
        <is>
          <t xml:space="preserve">  Founder / ops comp</t>
        </is>
      </c>
      <c r="B18" s="6">
        <f>Assumptions!$B$22/12</f>
        <v/>
      </c>
      <c r="C18" s="6">
        <f>Assumptions!$B$22/12</f>
        <v/>
      </c>
      <c r="D18" s="6">
        <f>Assumptions!$B$22/12</f>
        <v/>
      </c>
      <c r="E18" s="6">
        <f>Assumptions!$B$22/12</f>
        <v/>
      </c>
      <c r="F18" s="6">
        <f>Assumptions!$B$22/12</f>
        <v/>
      </c>
      <c r="G18" s="6">
        <f>Assumptions!$B$22/12</f>
        <v/>
      </c>
      <c r="H18" s="6">
        <f>Assumptions!$B$22/12</f>
        <v/>
      </c>
      <c r="I18" s="6">
        <f>Assumptions!$B$22/12</f>
        <v/>
      </c>
      <c r="J18" s="6">
        <f>Assumptions!$B$22/12</f>
        <v/>
      </c>
      <c r="K18" s="6">
        <f>Assumptions!$B$22/12</f>
        <v/>
      </c>
      <c r="L18" s="6">
        <f>Assumptions!$B$22/12</f>
        <v/>
      </c>
      <c r="M18" s="6">
        <f>Assumptions!$B$22/12</f>
        <v/>
      </c>
      <c r="N18" s="6">
        <f>SUM(B18:M18)</f>
        <v/>
      </c>
    </row>
    <row r="19">
      <c r="A19" s="4" t="inlineStr">
        <is>
          <t>Total operating expenses</t>
        </is>
      </c>
      <c r="B19" s="6">
        <f>SUM(B14:B18)</f>
        <v/>
      </c>
      <c r="C19" s="6">
        <f>SUM(C14:C18)</f>
        <v/>
      </c>
      <c r="D19" s="6">
        <f>SUM(D14:D18)</f>
        <v/>
      </c>
      <c r="E19" s="6">
        <f>SUM(E14:E18)</f>
        <v/>
      </c>
      <c r="F19" s="6">
        <f>SUM(F14:F18)</f>
        <v/>
      </c>
      <c r="G19" s="6">
        <f>SUM(G14:G18)</f>
        <v/>
      </c>
      <c r="H19" s="6">
        <f>SUM(H14:H18)</f>
        <v/>
      </c>
      <c r="I19" s="6">
        <f>SUM(I14:I18)</f>
        <v/>
      </c>
      <c r="J19" s="6">
        <f>SUM(J14:J18)</f>
        <v/>
      </c>
      <c r="K19" s="6">
        <f>SUM(K14:K18)</f>
        <v/>
      </c>
      <c r="L19" s="6">
        <f>SUM(L14:L18)</f>
        <v/>
      </c>
      <c r="M19" s="6">
        <f>SUM(M14:M18)</f>
        <v/>
      </c>
      <c r="N19" s="11">
        <f>SUM(B19:M19)</f>
        <v/>
      </c>
    </row>
    <row r="20">
      <c r="A20" s="7" t="inlineStr">
        <is>
          <t>EBITDA</t>
        </is>
      </c>
      <c r="B20" s="6">
        <f>B13-B19</f>
        <v/>
      </c>
      <c r="C20" s="6">
        <f>C13-C19</f>
        <v/>
      </c>
      <c r="D20" s="6">
        <f>D13-D19</f>
        <v/>
      </c>
      <c r="E20" s="6">
        <f>E13-E19</f>
        <v/>
      </c>
      <c r="F20" s="6">
        <f>F13-F19</f>
        <v/>
      </c>
      <c r="G20" s="6">
        <f>G13-G19</f>
        <v/>
      </c>
      <c r="H20" s="6">
        <f>H13-H19</f>
        <v/>
      </c>
      <c r="I20" s="6">
        <f>I13-I19</f>
        <v/>
      </c>
      <c r="J20" s="6">
        <f>J13-J19</f>
        <v/>
      </c>
      <c r="K20" s="6">
        <f>K13-K19</f>
        <v/>
      </c>
      <c r="L20" s="6">
        <f>L13-L19</f>
        <v/>
      </c>
      <c r="M20" s="6">
        <f>M13-M19</f>
        <v/>
      </c>
      <c r="N20" s="11">
        <f>SUM(B20:M20)</f>
        <v/>
      </c>
    </row>
    <row r="21">
      <c r="A21" t="inlineStr">
        <is>
          <t>EBITDA margin</t>
        </is>
      </c>
      <c r="B21" s="12">
        <f>IF(B8=0,0,B20/B8)</f>
        <v/>
      </c>
      <c r="C21" s="12">
        <f>IF(C8=0,0,C20/C8)</f>
        <v/>
      </c>
      <c r="D21" s="12">
        <f>IF(D8=0,0,D20/D8)</f>
        <v/>
      </c>
      <c r="E21" s="12">
        <f>IF(E8=0,0,E20/E8)</f>
        <v/>
      </c>
      <c r="F21" s="12">
        <f>IF(F8=0,0,F20/F8)</f>
        <v/>
      </c>
      <c r="G21" s="12">
        <f>IF(G8=0,0,G20/G8)</f>
        <v/>
      </c>
      <c r="H21" s="12">
        <f>IF(H8=0,0,H20/H8)</f>
        <v/>
      </c>
      <c r="I21" s="12">
        <f>IF(I8=0,0,I20/I8)</f>
        <v/>
      </c>
      <c r="J21" s="12">
        <f>IF(J8=0,0,J20/J8)</f>
        <v/>
      </c>
      <c r="K21" s="12">
        <f>IF(K8=0,0,K20/K8)</f>
        <v/>
      </c>
      <c r="L21" s="12">
        <f>IF(L8=0,0,L20/L8)</f>
        <v/>
      </c>
      <c r="M21" s="12">
        <f>IF(M8=0,0,M20/M8)</f>
        <v/>
      </c>
      <c r="N21" s="12">
        <f>IF(N8=0,0,N20/N8)</f>
        <v/>
      </c>
    </row>
    <row r="23">
      <c r="A23" s="3" t="inlineStr">
        <is>
          <t>Note: 'Active subscriptions' Year-1 column shows the ending balance (a stock, not a sum).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JHI Research &amp; Analytics Firm, Inc.</t>
        </is>
      </c>
    </row>
    <row r="2">
      <c r="A2" s="2" t="inlineStr">
        <is>
          <t>Salesperson bonus — prepaid annual MSA (Tier 1 &amp; 2)</t>
        </is>
      </c>
    </row>
    <row r="3">
      <c r="A3" s="3" t="inlineStr">
        <is>
          <t>generated 2026-07-12  ·  JHI-SIG: 69M2705M</t>
        </is>
      </c>
    </row>
    <row r="4">
      <c r="A4" s="3" t="inlineStr">
        <is>
          <t>Annual MSA paid up front at a prepay discount. Bonus = rate % of EBITDA (after gross margins &amp; opex), floored at $0. Illustrative internal model.</t>
        </is>
      </c>
    </row>
    <row r="5">
      <c r="A5" s="4" t="inlineStr">
        <is>
          <t>Tier 1 annual contracts (count)</t>
        </is>
      </c>
      <c r="B5" s="8" t="n">
        <v>50</v>
      </c>
      <c r="C5" s="3" t="inlineStr">
        <is>
          <t>Enterprise / Family Office, prepaid annual</t>
        </is>
      </c>
    </row>
    <row r="6">
      <c r="A6" s="4" t="inlineStr">
        <is>
          <t>Tier 2 annual contracts (count)</t>
        </is>
      </c>
      <c r="B6" s="14" t="n">
        <v>500</v>
      </c>
      <c r="C6" s="3" t="inlineStr">
        <is>
          <t>Professional, prepaid annual</t>
        </is>
      </c>
    </row>
    <row r="7">
      <c r="A7" s="4" t="inlineStr">
        <is>
          <t>Annual prepay discount (%)</t>
        </is>
      </c>
      <c r="B7" s="8" t="n">
        <v>10</v>
      </c>
      <c r="C7" s="3" t="inlineStr">
        <is>
          <t>Discount for paying 12 months up front</t>
        </is>
      </c>
    </row>
    <row r="8">
      <c r="A8" s="4" t="inlineStr">
        <is>
          <t>Bonus rate (% of EBITDA)</t>
        </is>
      </c>
      <c r="B8" s="8" t="n">
        <v>10</v>
      </c>
      <c r="C8" s="3" t="inlineStr">
        <is>
          <t>Salesperson profit share on this book</t>
        </is>
      </c>
    </row>
    <row r="10">
      <c r="A10" t="inlineStr">
        <is>
          <t>Tier 1 annual list price</t>
        </is>
      </c>
      <c r="B10" s="6">
        <f>Assumptions!$B$5*12</f>
        <v/>
      </c>
    </row>
    <row r="11">
      <c r="A11" t="inlineStr">
        <is>
          <t>Tier 1 prepaid price (net of discount)</t>
        </is>
      </c>
      <c r="B11" s="6">
        <f>Assumptions!$B$5*12*(1-$B$7/100)</f>
        <v/>
      </c>
    </row>
    <row r="12">
      <c r="A12" t="inlineStr">
        <is>
          <t>Tier 2 annual list price</t>
        </is>
      </c>
      <c r="B12" s="6">
        <f>Assumptions!$B$6*12</f>
        <v/>
      </c>
    </row>
    <row r="13">
      <c r="A13" t="inlineStr">
        <is>
          <t>Tier 2 prepaid price (net of discount)</t>
        </is>
      </c>
      <c r="B13" s="6">
        <f>Assumptions!$B$6*12*(1-$B$7/100)</f>
        <v/>
      </c>
    </row>
    <row r="14">
      <c r="A14" t="inlineStr">
        <is>
          <t>Tier 1 annual revenue</t>
        </is>
      </c>
      <c r="B14" s="6">
        <f>$B$5*Assumptions!$B$5*12*(1-$B$7/100)</f>
        <v/>
      </c>
    </row>
    <row r="15">
      <c r="A15" t="inlineStr">
        <is>
          <t>Tier 2 annual revenue</t>
        </is>
      </c>
      <c r="B15" s="6">
        <f>$B$6*Assumptions!$B$6*12*(1-$B$7/100)</f>
        <v/>
      </c>
    </row>
    <row r="16">
      <c r="A16" s="4" t="inlineStr">
        <is>
          <t>Total annual revenue (prepaid, net)</t>
        </is>
      </c>
      <c r="B16" s="11">
        <f>B14+B15</f>
        <v/>
      </c>
    </row>
    <row r="17">
      <c r="A17" t="inlineStr">
        <is>
          <t>COGS (proc+infra % + SF1)</t>
        </is>
      </c>
      <c r="B17" s="6">
        <f>B16*(Assumptions!$B$16+Assumptions!$B$17)/100+Assumptions!$B$18</f>
        <v/>
      </c>
    </row>
    <row r="18">
      <c r="A18" s="4" t="inlineStr">
        <is>
          <t>Gross profit</t>
        </is>
      </c>
      <c r="B18" s="11">
        <f>B16-B17</f>
        <v/>
      </c>
    </row>
    <row r="19">
      <c r="A19" t="inlineStr">
        <is>
          <t>Operating expenses (mktg+legal+sw+founder)</t>
        </is>
      </c>
      <c r="B19" s="6">
        <f>Assumptions!$B$19+Assumptions!$B$20+Assumptions!$B$21+Assumptions!$B$22</f>
        <v/>
      </c>
    </row>
    <row r="20">
      <c r="A20" s="4" t="inlineStr">
        <is>
          <t>EBITDA (after gross margins &amp; opex)</t>
        </is>
      </c>
      <c r="B20" s="11">
        <f>B18-B19</f>
        <v/>
      </c>
    </row>
    <row r="21">
      <c r="A21" t="inlineStr">
        <is>
          <t>EBITDA margin</t>
        </is>
      </c>
      <c r="B21" s="12">
        <f>IF(B16=0,0,B20/B16)</f>
        <v/>
      </c>
    </row>
    <row r="22">
      <c r="A22" s="7" t="inlineStr">
        <is>
          <t>Salesperson bonus (rate % of EBITDA)</t>
        </is>
      </c>
      <c r="B22" s="15">
        <f>MAX(0,B20*$B$8/100)</f>
        <v/>
      </c>
    </row>
    <row r="23">
      <c r="A23" t="inlineStr">
        <is>
          <t>EBITDA after salesperson bonus</t>
        </is>
      </c>
      <c r="B23" s="6">
        <f>B20-B22</f>
        <v/>
      </c>
    </row>
    <row r="26">
      <c r="A26" s="7" t="inlineStr">
        <is>
          <t>Sensitivity — bonus by book volume (≈10% T1 / 90% T2)</t>
        </is>
      </c>
    </row>
    <row r="27">
      <c r="A27" s="1" t="inlineStr">
        <is>
          <t>Metric</t>
        </is>
      </c>
      <c r="B27" s="13" t="inlineStr">
        <is>
          <t>100 contracts</t>
        </is>
      </c>
      <c r="C27" s="13" t="inlineStr">
        <is>
          <t>300 contracts</t>
        </is>
      </c>
      <c r="D27" s="13" t="inlineStr">
        <is>
          <t>600 contracts</t>
        </is>
      </c>
    </row>
    <row r="28">
      <c r="A28" s="16" t="inlineStr">
        <is>
          <t>Contracts (T1 / T2)</t>
        </is>
      </c>
      <c r="B28" s="17" t="inlineStr">
        <is>
          <t>10 / 90</t>
        </is>
      </c>
      <c r="C28" s="17" t="inlineStr">
        <is>
          <t>30 / 270</t>
        </is>
      </c>
      <c r="D28" s="17" t="inlineStr">
        <is>
          <t>60 / 540</t>
        </is>
      </c>
    </row>
    <row r="29">
      <c r="A29" s="16" t="inlineStr">
        <is>
          <t>Annual revenue (prepaid, net)</t>
        </is>
      </c>
      <c r="B29" s="6">
        <f>(10*Assumptions!$B$5+90*Assumptions!$B$6)*12*(1-$B$7/100)</f>
        <v/>
      </c>
      <c r="C29" s="6">
        <f>(30*Assumptions!$B$5+270*Assumptions!$B$6)*12*(1-$B$7/100)</f>
        <v/>
      </c>
      <c r="D29" s="6">
        <f>(60*Assumptions!$B$5+540*Assumptions!$B$6)*12*(1-$B$7/100)</f>
        <v/>
      </c>
    </row>
    <row r="30">
      <c r="A30" s="16" t="inlineStr">
        <is>
          <t>Gross profit</t>
        </is>
      </c>
      <c r="B30" s="6">
        <f>(10*Assumptions!$B$5+90*Assumptions!$B$6)*12*(1-$B$7/100)-(((10*Assumptions!$B$5+90*Assumptions!$B$6)*12*(1-$B$7/100))*(Assumptions!$B$16+Assumptions!$B$17)/100+Assumptions!$B$18)</f>
        <v/>
      </c>
      <c r="C30" s="6">
        <f>(30*Assumptions!$B$5+270*Assumptions!$B$6)*12*(1-$B$7/100)-(((30*Assumptions!$B$5+270*Assumptions!$B$6)*12*(1-$B$7/100))*(Assumptions!$B$16+Assumptions!$B$17)/100+Assumptions!$B$18)</f>
        <v/>
      </c>
      <c r="D30" s="6">
        <f>(60*Assumptions!$B$5+540*Assumptions!$B$6)*12*(1-$B$7/100)-(((60*Assumptions!$B$5+540*Assumptions!$B$6)*12*(1-$B$7/100))*(Assumptions!$B$16+Assumptions!$B$17)/100+Assumptions!$B$18)</f>
        <v/>
      </c>
    </row>
    <row r="31">
      <c r="A31" s="4" t="inlineStr">
        <is>
          <t>EBITDA</t>
        </is>
      </c>
      <c r="B31" s="6">
        <f>B30-(Assumptions!$B$19+Assumptions!$B$20+Assumptions!$B$21+Assumptions!$B$22)</f>
        <v/>
      </c>
      <c r="C31" s="6">
        <f>C30-(Assumptions!$B$19+Assumptions!$B$20+Assumptions!$B$21+Assumptions!$B$22)</f>
        <v/>
      </c>
      <c r="D31" s="6">
        <f>D30-(Assumptions!$B$19+Assumptions!$B$20+Assumptions!$B$21+Assumptions!$B$22)</f>
        <v/>
      </c>
    </row>
    <row r="32">
      <c r="A32" s="4" t="inlineStr">
        <is>
          <t>Salesperson bonus</t>
        </is>
      </c>
      <c r="B32" s="11">
        <f>MAX(0,B31*$B$8/100)</f>
        <v/>
      </c>
      <c r="C32" s="11">
        <f>MAX(0,C31*$B$8/100)</f>
        <v/>
      </c>
      <c r="D32" s="11">
        <f>MAX(0,D31*$B$8/100)</f>
        <v/>
      </c>
    </row>
    <row r="34">
      <c r="A34" s="3" t="inlineStr">
        <is>
          <t>Note: book-level EBITDA charges the full fixed annual opex to this book (conservative at low volume). Bonus floored at $0. Confirm plan mechanics with counsel/CPA.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JHI Research &amp; Analytics Firm, Inc.</t>
        </is>
      </c>
    </row>
    <row r="3">
      <c r="A3" s="18" t="inlineStr">
        <is>
          <t>Internal planning model from user-supplied assumptions — illustrative only, not a forecast, offer of employment, or compensation guarantee.</t>
        </is>
      </c>
    </row>
    <row r="4">
      <c r="A4" s="18" t="inlineStr">
        <is>
          <t>Residual commission is paid on active, collected subscriptions only. Consider a residual cap / step-down and a &lt;90-day churn clawback to protect long-term margin.</t>
        </is>
      </c>
    </row>
    <row r="5">
      <c r="A5" s="18" t="inlineStr">
        <is>
          <t>Founder signature of provenance: JHI-SIG: 69M2705M</t>
        </is>
      </c>
    </row>
    <row r="6">
      <c r="A6" s="18" t="inlineStr">
        <is>
          <t>© 2026 JHI Research &amp; Analytics Firm, Inc.. All rights reserved. Confidential.</t>
        </is>
      </c>
    </row>
  </sheetData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2026-07-12T00:02:20Z</dcterms:created>
  <dcterms:modified xmlns:dcterms="http://purl.org/dc/terms/" xmlns:xsi="http://www.w3.org/2001/XMLSchema-instance" xsi:type="dcterms:W3CDTF">2026-07-12T00:02:20Z</dcterms:modified>
</cp:coreProperties>
</file>