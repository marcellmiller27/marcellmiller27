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Upfront Commission (15%)" sheetId="2" state="visible" r:id="rId2"/>
    <sheet xmlns:r="http://schemas.openxmlformats.org/officeDocument/2006/relationships" name="Year-End MSA Bonus" sheetId="3" state="visible" r:id="rId3"/>
    <sheet xmlns:r="http://schemas.openxmlformats.org/officeDocument/2006/relationships" name="Full Forecast P&amp;L" sheetId="4" state="visible" r:id="rId4"/>
    <sheet xmlns:r="http://schemas.openxmlformats.org/officeDocument/2006/relationships" name="Salesperson Total Comp" sheetId="5" state="visible" r:id="rId5"/>
    <sheet xmlns:r="http://schemas.openxmlformats.org/officeDocument/2006/relationships" name="Legal &amp; Provena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&quot;$&quot;#,##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C1F33"/>
      <sz val="13"/>
    </font>
    <font>
      <i val="1"/>
      <color rgb="005A6B7D"/>
      <sz val="9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0C1F33"/>
      </patternFill>
    </fill>
    <fill>
      <patternFill patternType="solid">
        <fgColor rgb="00FFF6D5"/>
      </patternFill>
    </fill>
    <fill>
      <patternFill patternType="solid">
        <fgColor rgb="00EAEFF6"/>
      </patternFill>
    </fill>
    <fill>
      <patternFill patternType="solid">
        <fgColor rgb="00E4F3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4" fillId="4" borderId="0" pivotButton="0" quotePrefix="0" xfId="0"/>
    <xf numFmtId="3" fontId="0" fillId="0" borderId="0" pivotButton="0" quotePrefix="0" xfId="0"/>
    <xf numFmtId="165" fontId="0" fillId="0" borderId="0" pivotButton="0" quotePrefix="0" xfId="0"/>
    <xf numFmtId="165" fontId="0" fillId="5" borderId="0" pivotButton="0" quotePrefix="0" xfId="0"/>
    <xf numFmtId="165" fontId="0" fillId="3" borderId="0" pivotButton="0" quotePrefix="0" xfId="0"/>
    <xf numFmtId="0" fontId="1" fillId="2" borderId="0" applyAlignment="1" pivotButton="0" quotePrefix="0" xfId="0">
      <alignment horizontal="right"/>
    </xf>
    <xf numFmtId="165" fontId="4" fillId="5" borderId="0" pivotButton="0" quotePrefix="0" xfId="0"/>
    <xf numFmtId="166" fontId="0" fillId="0" borderId="0" pivotButton="0" quotePrefix="0" xfId="0"/>
    <xf numFmtId="165" fontId="4" fillId="0" borderId="0" pivotButton="0" quotePrefix="0" xfId="0"/>
    <xf numFmtId="165" fontId="4" fillId="4" borderId="0" pivotButton="0" quotePrefix="0" xfId="0"/>
    <xf numFmtId="0" fontId="4" fillId="5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46" customWidth="1" min="3" max="3"/>
  </cols>
  <sheetData>
    <row r="1">
      <c r="A1" s="1" t="inlineStr">
        <is>
          <t>JHI Research &amp; Analytics Firm, Inc.</t>
        </is>
      </c>
    </row>
    <row r="2">
      <c r="A2" s="2" t="inlineStr">
        <is>
          <t>Prepaid-MSA Sales Commission — assumptions</t>
        </is>
      </c>
    </row>
    <row r="3">
      <c r="A3" s="3" t="inlineStr">
        <is>
          <t>generated 2026-07-18  ·  JHI-SIG: 69M2705M</t>
        </is>
      </c>
    </row>
    <row r="5">
      <c r="A5" s="4" t="inlineStr">
        <is>
          <t>Tier 1 price ($/mo)</t>
        </is>
      </c>
      <c r="B5" s="5" t="n">
        <v>1500</v>
      </c>
      <c r="C5" s="3" t="inlineStr">
        <is>
          <t>Enterprise / Family Office</t>
        </is>
      </c>
    </row>
    <row r="6">
      <c r="A6" s="4" t="inlineStr">
        <is>
          <t>Tier 2 price ($/mo)</t>
        </is>
      </c>
      <c r="B6" s="5" t="n">
        <v>299</v>
      </c>
      <c r="C6" s="3" t="inlineStr">
        <is>
          <t>Professional</t>
        </is>
      </c>
    </row>
    <row r="7">
      <c r="A7" s="4" t="inlineStr">
        <is>
          <t>Tier 1 mix (% of closes)</t>
        </is>
      </c>
      <c r="B7" s="6" t="n">
        <v>10</v>
      </c>
      <c r="C7" s="3" t="inlineStr">
        <is>
          <t>Share of closes that are Tier 1</t>
        </is>
      </c>
    </row>
    <row r="8">
      <c r="A8" s="4" t="inlineStr">
        <is>
          <t>Closes per month</t>
        </is>
      </c>
      <c r="B8" s="5" t="n">
        <v>100</v>
      </c>
      <c r="C8" s="3" t="inlineStr">
        <is>
          <t>New full-paid subs signed each month</t>
        </is>
      </c>
    </row>
    <row r="9">
      <c r="A9" s="4" t="inlineStr">
        <is>
          <t>Annual prepay discount (%)</t>
        </is>
      </c>
      <c r="B9" s="6" t="n">
        <v>10</v>
      </c>
      <c r="C9" s="3" t="inlineStr">
        <is>
          <t>Discount for paying 12 months up front</t>
        </is>
      </c>
    </row>
    <row r="10">
      <c r="A10" s="4" t="inlineStr">
        <is>
          <t>Upfront commission rate (%)</t>
        </is>
      </c>
      <c r="B10" s="6" t="n">
        <v>15</v>
      </c>
      <c r="C10" s="3" t="inlineStr">
        <is>
          <t>Rep % of full-paid (net) contract value, at signing</t>
        </is>
      </c>
    </row>
    <row r="11">
      <c r="A11" s="4" t="inlineStr">
        <is>
          <t>MSA completion / renewal rate (%)</t>
        </is>
      </c>
      <c r="B11" s="6" t="n">
        <v>90</v>
      </c>
      <c r="C11" s="3" t="inlineStr">
        <is>
          <t>Share of contracts that complete the full 12-mo MSA</t>
        </is>
      </c>
    </row>
    <row r="12">
      <c r="A12" s="4" t="inlineStr">
        <is>
          <t>Year-end MSA-completion bonus rate (%)</t>
        </is>
      </c>
      <c r="B12" s="6" t="n">
        <v>5</v>
      </c>
      <c r="C12" s="3" t="inlineStr">
        <is>
          <t>Rep bonus % of completed-contract value, paid at year-end</t>
        </is>
      </c>
    </row>
    <row r="14">
      <c r="A14" s="7" t="inlineStr">
        <is>
          <t>DERIVED</t>
        </is>
      </c>
    </row>
    <row r="15">
      <c r="A15" s="4" t="inlineStr">
        <is>
          <t>Subscriptions per year</t>
        </is>
      </c>
      <c r="B15" s="8">
        <f>B8*12</f>
        <v/>
      </c>
      <c r="C15" s="3" t="inlineStr">
        <is>
          <t>Closes/mo × 12 (e.g. 100 → 1,200)</t>
        </is>
      </c>
    </row>
    <row r="16">
      <c r="A16" s="4" t="inlineStr">
        <is>
          <t>Avg full-paid price / sub (net, annual)</t>
        </is>
      </c>
      <c r="B16" s="9">
        <f>((B5*B7/100)+(B6*(1-B7/100)))*12*(1-B9/100)</f>
        <v/>
      </c>
      <c r="C16" s="3" t="inlineStr">
        <is>
          <t>Blended monthly price × 12 × (1 − prepay discount)</t>
        </is>
      </c>
    </row>
    <row r="17">
      <c r="A17" s="4" t="inlineStr">
        <is>
          <t>Total prepaid annual revenue (net)</t>
        </is>
      </c>
      <c r="B17" s="10">
        <f>B15*B16</f>
        <v/>
      </c>
    </row>
    <row r="19">
      <c r="A19" s="7" t="inlineStr">
        <is>
          <t>OPERATING ASSUMPTIONS (editable)</t>
        </is>
      </c>
    </row>
    <row r="20">
      <c r="A20" s="4" t="inlineStr">
        <is>
          <t>Payment processing (% of revenue)</t>
        </is>
      </c>
      <c r="B20" s="6" t="n">
        <v>3</v>
      </c>
    </row>
    <row r="21">
      <c r="A21" s="4" t="inlineStr">
        <is>
          <t>Infra / support (% of revenue)</t>
        </is>
      </c>
      <c r="B21" s="6" t="n">
        <v>2</v>
      </c>
    </row>
    <row r="22">
      <c r="A22" s="4" t="inlineStr">
        <is>
          <t>Data license — SF1 ($/yr, fixed)</t>
        </is>
      </c>
      <c r="B22" s="11" t="n">
        <v>18000</v>
      </c>
    </row>
    <row r="23">
      <c r="A23" s="4" t="inlineStr">
        <is>
          <t>Marketing ($/yr)</t>
        </is>
      </c>
      <c r="B23" s="11" t="n">
        <v>36000</v>
      </c>
    </row>
    <row r="24">
      <c r="A24" s="4" t="inlineStr">
        <is>
          <t>Legal &amp; accounting ($/yr)</t>
        </is>
      </c>
      <c r="B24" s="11" t="n">
        <v>18000</v>
      </c>
    </row>
    <row r="25">
      <c r="A25" s="4" t="inlineStr">
        <is>
          <t>Software &amp; AI tools ($/yr)</t>
        </is>
      </c>
      <c r="B25" s="11" t="n">
        <v>12000</v>
      </c>
    </row>
    <row r="26">
      <c r="A26" s="4" t="inlineStr">
        <is>
          <t>Founder / ops comp ($/yr)</t>
        </is>
      </c>
      <c r="B26" s="11" t="n">
        <v>60000</v>
      </c>
    </row>
  </sheetData>
  <mergeCells count="3">
    <mergeCell ref="A1:C1"/>
    <mergeCell ref="A3:C3"/>
    <mergeCell ref="A2:C2"/>
  </mergeCells>
  <pageMargins left="0.75" right="0.75" top="1" bottom="1" header="0.5" footer="0.5"/>
  <headerFooter>
    <oddHeader/>
    <oddFooter>&amp;L&amp;8© JHI Research &amp;&amp; Analytics Firm, Inc.  ·  JHI-SIG: 69M2705M&amp;C&amp;8Confidential — not for redistribution&amp;R&amp;8Page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JHI Research &amp; Analytics Firm, Inc.</t>
        </is>
      </c>
    </row>
    <row r="2">
      <c r="A2" s="2" t="inlineStr">
        <is>
          <t>Upfront commission — 15% of full-paid (net) contract value</t>
        </is>
      </c>
    </row>
    <row r="3">
      <c r="A3" s="3" t="inlineStr">
        <is>
          <t>generated 2026-07-18  ·  JHI-SIG: 69M2705M</t>
        </is>
      </c>
    </row>
    <row r="4">
      <c r="A4" s="3" t="inlineStr">
        <is>
          <t>Contracts are prepaid annual (12-mo MSA). Rep earns the upfront commission at signing on the net (post-discount) contract value. Pay on collected cash.</t>
        </is>
      </c>
    </row>
    <row r="5">
      <c r="A5" s="1" t="inlineStr"/>
      <c r="B5" s="12" t="inlineStr">
        <is>
          <t>Tier 1</t>
        </is>
      </c>
      <c r="C5" s="12" t="inlineStr">
        <is>
          <t>Tier 2</t>
        </is>
      </c>
      <c r="D5" s="12" t="inlineStr">
        <is>
          <t>Total</t>
        </is>
      </c>
    </row>
    <row r="6">
      <c r="A6" t="inlineStr">
        <is>
          <t>Subscriptions / year</t>
        </is>
      </c>
      <c r="B6" s="8">
        <f>Assumptions!$B$15*Assumptions!$B$7/100</f>
        <v/>
      </c>
      <c r="C6" s="8">
        <f>Assumptions!$B$15*(1-Assumptions!$B$7/100)</f>
        <v/>
      </c>
      <c r="D6" s="8">
        <f>B6+C6</f>
        <v/>
      </c>
    </row>
    <row r="7">
      <c r="A7" t="inlineStr">
        <is>
          <t>Full-paid price / sub (net, annual)</t>
        </is>
      </c>
      <c r="B7" s="9">
        <f>Assumptions!$B$5*12*(1-Assumptions!$B$9/100)</f>
        <v/>
      </c>
      <c r="C7" s="9">
        <f>Assumptions!$B$6*12*(1-Assumptions!$B$9/100)</f>
        <v/>
      </c>
    </row>
    <row r="8">
      <c r="A8" s="4" t="inlineStr">
        <is>
          <t>Prepaid annual revenue (net)</t>
        </is>
      </c>
      <c r="B8" s="9">
        <f>B6*B7</f>
        <v/>
      </c>
      <c r="C8" s="9">
        <f>C6*C7</f>
        <v/>
      </c>
      <c r="D8" s="9">
        <f>B8+C8</f>
        <v/>
      </c>
    </row>
    <row r="9">
      <c r="A9" t="inlineStr">
        <is>
          <t>Upfront commission / sub (15%)</t>
        </is>
      </c>
      <c r="B9" s="9">
        <f>B7*Assumptions!$B$10/100</f>
        <v/>
      </c>
      <c r="C9" s="9">
        <f>C7*Assumptions!$B$10/100</f>
        <v/>
      </c>
    </row>
    <row r="10">
      <c r="A10" s="4" t="inlineStr">
        <is>
          <t>Upfront commission (total)</t>
        </is>
      </c>
      <c r="B10" s="13">
        <f>B8*Assumptions!$B$10/100</f>
        <v/>
      </c>
      <c r="C10" s="13">
        <f>C8*Assumptions!$B$10/100</f>
        <v/>
      </c>
      <c r="D10" s="13">
        <f>B10+C10</f>
        <v/>
      </c>
    </row>
    <row r="13">
      <c r="A13" s="3" t="inlineStr">
        <is>
          <t>Cash-flow note: 15% paid UP FRONT on the full annual contract is front-loaded vs. a monthly residual — model the cash outlay at signing.</t>
        </is>
      </c>
    </row>
  </sheetData>
  <mergeCells count="3">
    <mergeCell ref="A1:D1"/>
    <mergeCell ref="A3:D3"/>
    <mergeCell ref="A2:D2"/>
  </mergeCells>
  <pageMargins left="0.75" right="0.75" top="1" bottom="1" header="0.5" footer="0.5"/>
  <headerFooter>
    <oddHeader/>
    <oddFooter>&amp;L&amp;8© JHI Research &amp;&amp; Analytics Firm, Inc.  ·  JHI-SIG: 69M2705M&amp;C&amp;8Confidential — not for redistribution&amp;R&amp;8Page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44" customWidth="1" min="3" max="3"/>
  </cols>
  <sheetData>
    <row r="1">
      <c r="A1" s="1" t="inlineStr">
        <is>
          <t>JHI Research &amp; Analytics Firm, Inc.</t>
        </is>
      </c>
    </row>
    <row r="2">
      <c r="A2" s="2" t="inlineStr">
        <is>
          <t>Year-end MSA-completion bonus</t>
        </is>
      </c>
    </row>
    <row r="3">
      <c r="A3" s="3" t="inlineStr">
        <is>
          <t>generated 2026-07-18  ·  JHI-SIG: 69M2705M</t>
        </is>
      </c>
    </row>
    <row r="4">
      <c r="A4" s="3" t="inlineStr">
        <is>
          <t>Additional bonus rewarding contracts that COMPLETE the full 12-month MSA term (retention). Paid at year-end on completed-contract value.</t>
        </is>
      </c>
    </row>
    <row r="5">
      <c r="A5" t="inlineStr">
        <is>
          <t>Subscriptions / year (signed)</t>
        </is>
      </c>
      <c r="B5" s="8">
        <f>Assumptions!$B$15</f>
        <v/>
      </c>
      <c r="C5" s="3" t="inlineStr">
        <is>
          <t>From Assumptions (closes/mo × 12)</t>
        </is>
      </c>
    </row>
    <row r="6">
      <c r="A6" t="inlineStr">
        <is>
          <t>MSA completion / renewal rate</t>
        </is>
      </c>
      <c r="B6" s="14">
        <f>Assumptions!$B$11/100</f>
        <v/>
      </c>
      <c r="C6" s="3" t="inlineStr">
        <is>
          <t>Share completing the full 12-mo term</t>
        </is>
      </c>
    </row>
    <row r="7">
      <c r="A7" t="inlineStr">
        <is>
          <t>Contracts completing full 12-mo MSA</t>
        </is>
      </c>
      <c r="B7" s="8">
        <f>B5*B6</f>
        <v/>
      </c>
      <c r="C7" s="3" t="inlineStr">
        <is>
          <t>Signed × completion rate</t>
        </is>
      </c>
    </row>
    <row r="8">
      <c r="A8" t="inlineStr">
        <is>
          <t>Completed-contract value (net)</t>
        </is>
      </c>
      <c r="B8" s="9">
        <f>Assumptions!$B$17*B6</f>
        <v/>
      </c>
      <c r="C8" s="3" t="inlineStr">
        <is>
          <t>Total prepaid revenue × completion rate</t>
        </is>
      </c>
    </row>
    <row r="9">
      <c r="A9" t="inlineStr">
        <is>
          <t>Year-end bonus rate</t>
        </is>
      </c>
      <c r="B9" s="14">
        <f>Assumptions!$B$12/100</f>
        <v/>
      </c>
      <c r="C9" s="3" t="inlineStr">
        <is>
          <t>Rep % of completed-contract value</t>
        </is>
      </c>
    </row>
    <row r="10">
      <c r="A10" s="4" t="inlineStr">
        <is>
          <t>Year-end MSA-completion bonus</t>
        </is>
      </c>
      <c r="B10" s="13">
        <f>B8*B9</f>
        <v/>
      </c>
      <c r="C10" s="3" t="inlineStr">
        <is>
          <t>Completed value × bonus rate</t>
        </is>
      </c>
    </row>
  </sheetData>
  <mergeCells count="3">
    <mergeCell ref="A1:C1"/>
    <mergeCell ref="A3:C3"/>
    <mergeCell ref="A2:C2"/>
  </mergeCells>
  <pageMargins left="0.75" right="0.75" top="1" bottom="1" header="0.5" footer="0.5"/>
  <headerFooter>
    <oddHeader/>
    <oddFooter>&amp;L&amp;8© JHI Research &amp;&amp; Analytics Firm, Inc.  ·  JHI-SIG: 69M2705M&amp;C&amp;8Confidential — not for redistribution&amp;R&amp;8Page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44" customWidth="1" min="3" max="3"/>
  </cols>
  <sheetData>
    <row r="1">
      <c r="A1" s="1" t="inlineStr">
        <is>
          <t>JHI Research &amp; Analytics Firm, Inc.</t>
        </is>
      </c>
    </row>
    <row r="2">
      <c r="A2" s="2" t="inlineStr">
        <is>
          <t>Full-year forecast P&amp;L — all expenditures included</t>
        </is>
      </c>
    </row>
    <row r="3">
      <c r="A3" s="3" t="inlineStr">
        <is>
          <t>generated 2026-07-18  ·  JHI-SIG: 69M2705M</t>
        </is>
      </c>
    </row>
    <row r="4">
      <c r="A4" s="3" t="inlineStr">
        <is>
          <t>1,200 prepaid annual subs (editable). Includes COGS + upfront 15% commission + year-end MSA bonus + all operating costs. Illustrative internal model.</t>
        </is>
      </c>
    </row>
    <row r="5">
      <c r="A5" s="4" t="inlineStr">
        <is>
          <t>Revenue (prepaid annual, net)</t>
        </is>
      </c>
      <c r="B5" s="15">
        <f>Assumptions!$B$17</f>
        <v/>
      </c>
    </row>
    <row r="6">
      <c r="A6" t="inlineStr">
        <is>
          <t xml:space="preserve">  Payment processing</t>
        </is>
      </c>
      <c r="B6" s="9">
        <f>-B5*Assumptions!$B$20/100</f>
        <v/>
      </c>
    </row>
    <row r="7">
      <c r="A7" t="inlineStr">
        <is>
          <t xml:space="preserve">  Infrastructure &amp; support</t>
        </is>
      </c>
      <c r="B7" s="9">
        <f>-B5*Assumptions!$B$21/100</f>
        <v/>
      </c>
    </row>
    <row r="8">
      <c r="A8" t="inlineStr">
        <is>
          <t xml:space="preserve">  Data license (SF1)</t>
        </is>
      </c>
      <c r="B8" s="9">
        <f>-Assumptions!$B$22</f>
        <v/>
      </c>
    </row>
    <row r="9">
      <c r="A9" s="7" t="inlineStr">
        <is>
          <t>Gross profit</t>
        </is>
      </c>
      <c r="B9" s="16">
        <f>B5+SUM(B6:B8)</f>
        <v/>
      </c>
    </row>
    <row r="10">
      <c r="A10" t="inlineStr">
        <is>
          <t xml:space="preserve">  Upfront sales commission (15%)</t>
        </is>
      </c>
      <c r="B10" s="9">
        <f>-'Upfront Commission (15%)'!$D$10</f>
        <v/>
      </c>
    </row>
    <row r="11">
      <c r="A11" t="inlineStr">
        <is>
          <t xml:space="preserve">  Year-end MSA-completion bonus</t>
        </is>
      </c>
      <c r="B11" s="9">
        <f>-'Year-End MSA Bonus'!$B$10</f>
        <v/>
      </c>
    </row>
    <row r="12">
      <c r="A12" t="inlineStr">
        <is>
          <t xml:space="preserve">  Marketing</t>
        </is>
      </c>
      <c r="B12" s="9">
        <f>-Assumptions!$B$23</f>
        <v/>
      </c>
    </row>
    <row r="13">
      <c r="A13" t="inlineStr">
        <is>
          <t xml:space="preserve">  Legal &amp; accounting</t>
        </is>
      </c>
      <c r="B13" s="9">
        <f>-Assumptions!$B$24</f>
        <v/>
      </c>
    </row>
    <row r="14">
      <c r="A14" t="inlineStr">
        <is>
          <t xml:space="preserve">  Software &amp; AI tools</t>
        </is>
      </c>
      <c r="B14" s="9">
        <f>-Assumptions!$B$25</f>
        <v/>
      </c>
    </row>
    <row r="15">
      <c r="A15" t="inlineStr">
        <is>
          <t xml:space="preserve">  Founder / ops comp</t>
        </is>
      </c>
      <c r="B15" s="9">
        <f>-Assumptions!$B$26</f>
        <v/>
      </c>
    </row>
    <row r="16">
      <c r="A16" s="4" t="inlineStr">
        <is>
          <t>Total operating expenses</t>
        </is>
      </c>
      <c r="B16" s="15">
        <f>SUM(B10:B15)</f>
        <v/>
      </c>
    </row>
    <row r="17">
      <c r="A17" s="17" t="inlineStr">
        <is>
          <t>EBITDA</t>
        </is>
      </c>
      <c r="B17" s="13">
        <f>B9+B16</f>
        <v/>
      </c>
    </row>
    <row r="18">
      <c r="A18" t="inlineStr">
        <is>
          <t>EBITDA margin</t>
        </is>
      </c>
      <c r="B18" s="14">
        <f>IF(B5=0,0,B17/B5)</f>
        <v/>
      </c>
    </row>
    <row r="19">
      <c r="A19" s="4" t="inlineStr">
        <is>
          <t>Total salesperson compensation</t>
        </is>
      </c>
      <c r="B19" s="15">
        <f>'Upfront Commission (15%)'!$D$10+'Year-End MSA Bonus'!$B$10</f>
        <v/>
      </c>
    </row>
    <row r="21">
      <c r="A21" s="3" t="inlineStr">
        <is>
          <t>Reality check: 1,200 premium prepaid subs in Year 1 from one rep is an aggressive 'ceiling' scenario. Dial closes/mo down in Assumptions for a base case.</t>
        </is>
      </c>
    </row>
  </sheetData>
  <mergeCells count="3">
    <mergeCell ref="A1:C1"/>
    <mergeCell ref="A3:C3"/>
    <mergeCell ref="A2:C2"/>
  </mergeCells>
  <pageMargins left="0.75" right="0.75" top="1" bottom="1" header="0.5" footer="0.5"/>
  <headerFooter>
    <oddHeader/>
    <oddFooter>&amp;L&amp;8© JHI Research &amp;&amp; Analytics Firm, Inc.  ·  JHI-SIG: 69M2705M&amp;C&amp;8Confidential — not for redistribution&amp;R&amp;8Page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JHI Research &amp; Analytics Firm, Inc.</t>
        </is>
      </c>
    </row>
    <row r="2">
      <c r="A2" s="2" t="inlineStr">
        <is>
          <t>Salesperson total compensation &amp; mix sensitivity</t>
        </is>
      </c>
    </row>
    <row r="3">
      <c r="A3" s="3" t="inlineStr">
        <is>
          <t>generated 2026-07-18  ·  JHI-SIG: 69M2705M</t>
        </is>
      </c>
    </row>
    <row r="5">
      <c r="A5" s="4" t="inlineStr">
        <is>
          <t>Upfront commission (15%)</t>
        </is>
      </c>
      <c r="B5" s="15">
        <f>'Upfront Commission (15%)'!$D$10</f>
        <v/>
      </c>
    </row>
    <row r="6">
      <c r="A6" s="4" t="inlineStr">
        <is>
          <t>Year-end MSA-completion bonus</t>
        </is>
      </c>
      <c r="B6" s="15">
        <f>'Year-End MSA Bonus'!$B$10</f>
        <v/>
      </c>
    </row>
    <row r="7">
      <c r="A7" s="4" t="inlineStr">
        <is>
          <t>Total salesperson compensation</t>
        </is>
      </c>
      <c r="B7" s="13">
        <f>B5+B6</f>
        <v/>
      </c>
    </row>
    <row r="8">
      <c r="A8" t="inlineStr">
        <is>
          <t>Total comp as % of revenue</t>
        </is>
      </c>
      <c r="B8" s="14">
        <f>IF(Assumptions!$B$17=0,0,B7/Assumptions!$B$17)</f>
        <v/>
      </c>
    </row>
    <row r="11">
      <c r="A11" s="7" t="inlineStr">
        <is>
          <t>Sensitivity — by Tier-1 mix (1,200 subs)</t>
        </is>
      </c>
    </row>
    <row r="12">
      <c r="A12" s="1" t="inlineStr">
        <is>
          <t>Metric</t>
        </is>
      </c>
      <c r="B12" s="12" t="inlineStr">
        <is>
          <t>0% T1</t>
        </is>
      </c>
      <c r="C12" s="12" t="inlineStr">
        <is>
          <t>10% T1</t>
        </is>
      </c>
      <c r="D12" s="12" t="inlineStr">
        <is>
          <t>20% T1</t>
        </is>
      </c>
    </row>
    <row r="13">
      <c r="A13" s="18" t="inlineStr">
        <is>
          <t>Avg full-paid price / sub (net)</t>
        </is>
      </c>
      <c r="B13" s="9">
        <f>((Assumptions!$B$5*0/100)+(Assumptions!$B$6*(1-0/100)))*12*(1-Assumptions!$B$9/100)</f>
        <v/>
      </c>
      <c r="C13" s="9">
        <f>((Assumptions!$B$5*10/100)+(Assumptions!$B$6*(1-10/100)))*12*(1-Assumptions!$B$9/100)</f>
        <v/>
      </c>
      <c r="D13" s="9">
        <f>((Assumptions!$B$5*20/100)+(Assumptions!$B$6*(1-20/100)))*12*(1-Assumptions!$B$9/100)</f>
        <v/>
      </c>
    </row>
    <row r="14">
      <c r="A14" s="18" t="inlineStr">
        <is>
          <t>Prepaid annual revenue (net)</t>
        </is>
      </c>
      <c r="B14" s="9">
        <f>Assumptions!$B$15*((Assumptions!$B$5*0/100)+(Assumptions!$B$6*(1-0/100)))*12*(1-Assumptions!$B$9/100)</f>
        <v/>
      </c>
      <c r="C14" s="9">
        <f>Assumptions!$B$15*((Assumptions!$B$5*10/100)+(Assumptions!$B$6*(1-10/100)))*12*(1-Assumptions!$B$9/100)</f>
        <v/>
      </c>
      <c r="D14" s="9">
        <f>Assumptions!$B$15*((Assumptions!$B$5*20/100)+(Assumptions!$B$6*(1-20/100)))*12*(1-Assumptions!$B$9/100)</f>
        <v/>
      </c>
    </row>
    <row r="15">
      <c r="A15" s="18" t="inlineStr">
        <is>
          <t>Upfront commission (15%)</t>
        </is>
      </c>
      <c r="B15" s="9">
        <f>(Assumptions!$B$15*((Assumptions!$B$5*0/100)+(Assumptions!$B$6*(1-0/100)))*12*(1-Assumptions!$B$9/100))*Assumptions!$B$10/100</f>
        <v/>
      </c>
      <c r="C15" s="9">
        <f>(Assumptions!$B$15*((Assumptions!$B$5*10/100)+(Assumptions!$B$6*(1-10/100)))*12*(1-Assumptions!$B$9/100))*Assumptions!$B$10/100</f>
        <v/>
      </c>
      <c r="D15" s="9">
        <f>(Assumptions!$B$15*((Assumptions!$B$5*20/100)+(Assumptions!$B$6*(1-20/100)))*12*(1-Assumptions!$B$9/100))*Assumptions!$B$10/100</f>
        <v/>
      </c>
    </row>
    <row r="16">
      <c r="A16" s="18" t="inlineStr">
        <is>
          <t>Year-end MSA bonus</t>
        </is>
      </c>
      <c r="B16" s="9">
        <f>(Assumptions!$B$15*((Assumptions!$B$5*0/100)+(Assumptions!$B$6*(1-0/100)))*12*(1-Assumptions!$B$9/100))*Assumptions!$B$11/100*Assumptions!$B$12/100</f>
        <v/>
      </c>
      <c r="C16" s="9">
        <f>(Assumptions!$B$15*((Assumptions!$B$5*10/100)+(Assumptions!$B$6*(1-10/100)))*12*(1-Assumptions!$B$9/100))*Assumptions!$B$11/100*Assumptions!$B$12/100</f>
        <v/>
      </c>
      <c r="D16" s="9">
        <f>(Assumptions!$B$15*((Assumptions!$B$5*20/100)+(Assumptions!$B$6*(1-20/100)))*12*(1-Assumptions!$B$9/100))*Assumptions!$B$11/100*Assumptions!$B$12/100</f>
        <v/>
      </c>
    </row>
    <row r="17">
      <c r="A17" s="4" t="inlineStr">
        <is>
          <t>Total salesperson comp</t>
        </is>
      </c>
      <c r="B17" s="13">
        <f>B15+B16</f>
        <v/>
      </c>
      <c r="C17" s="13">
        <f>C15+C16</f>
        <v/>
      </c>
      <c r="D17" s="13">
        <f>D15+D16</f>
        <v/>
      </c>
    </row>
    <row r="19">
      <c r="A19" s="3" t="inlineStr">
        <is>
          <t>Note: upfront commission is front-loaded cash at signing; the year-end bonus rewards 12-mo MSA completion (retention). Confirm plan mechanics with counsel/CPA.</t>
        </is>
      </c>
    </row>
  </sheetData>
  <mergeCells count="3">
    <mergeCell ref="A1:D1"/>
    <mergeCell ref="A3:D3"/>
    <mergeCell ref="A2:D2"/>
  </mergeCells>
  <pageMargins left="0.75" right="0.75" top="1" bottom="1" header="0.5" footer="0.5"/>
  <headerFooter>
    <oddHeader/>
    <oddFooter>&amp;L&amp;8© JHI Research &amp;&amp; Analytics Firm, Inc.  ·  JHI-SIG: 69M2705M&amp;C&amp;8Confidential — not for redistribution&amp;R&amp;8Page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JHI Research &amp; Analytics Firm, Inc.</t>
        </is>
      </c>
    </row>
    <row r="3">
      <c r="A3" s="19" t="inlineStr">
        <is>
          <t>Internal planning model from user-supplied assumptions — illustrative only, not a forecast, offer of employment, or compensation guarantee.</t>
        </is>
      </c>
    </row>
    <row r="4">
      <c r="A4" s="19" t="inlineStr">
        <is>
          <t>Upfront commission is paid on collected, full-paid (prepaid annual) contracts. Consider a pro-rata clawback if a prepaid contract is refunded/cancelled before the 12-mo MSA completes.</t>
        </is>
      </c>
    </row>
    <row r="5">
      <c r="A5" s="19" t="inlineStr">
        <is>
          <t>The year-end MSA-completion bonus rewards contracts that complete the full 12-month term.</t>
        </is>
      </c>
    </row>
    <row r="6">
      <c r="A6" s="19" t="inlineStr">
        <is>
          <t>Founder signature of provenance: JHI-SIG: 69M2705M</t>
        </is>
      </c>
    </row>
    <row r="7">
      <c r="A7" s="19" t="inlineStr">
        <is>
          <t>© 2026 JHI Research &amp; Analytics Firm, Inc.. All rights reserved. Confidential.</t>
        </is>
      </c>
    </row>
  </sheetData>
  <pageMargins left="0.75" right="0.75" top="1" bottom="1" header="0.5" footer="0.5"/>
  <headerFooter>
    <oddHeader/>
    <oddFooter>&amp;L&amp;8© JHI Research &amp;&amp; Analytics Firm, Inc.  ·  JHI-SIG: 69M2705M&amp;C&amp;8Confidential — not for redistribution&amp;R&amp;8Page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2026-07-18T21:43:50Z</dcterms:created>
  <dcterms:modified xmlns:dcterms="http://purl.org/dc/terms/" xmlns:xsi="http://www.w3.org/2001/XMLSchema-instance" xsi:type="dcterms:W3CDTF">2026-07-18T21:43:50Z</dcterms:modified>
</cp:coreProperties>
</file>