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losure" sheetId="1" state="visible" r:id="rId1"/>
    <sheet name="Rate Card" sheetId="2" state="visible" r:id="rId2"/>
    <sheet name="Subsystem Summary" sheetId="3" state="visible" r:id="rId3"/>
    <sheet name="By Job Title" sheetId="4" state="visible" r:id="rId4"/>
    <sheet name="Notes &amp; Disclos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0B2A4A"/>
      <sz val="16"/>
    </font>
    <font>
      <i val="1"/>
      <color rgb="00555555"/>
      <sz val="10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D4AF3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3" borderId="1" pivotButton="0" quotePrefix="0" xfId="0"/>
    <xf numFmtId="164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24" customWidth="1" min="3" max="3"/>
    <col width="12" customWidth="1" min="4" max="4"/>
    <col width="16" customWidth="1" min="5" max="5"/>
    <col width="11" customWidth="1" min="6" max="6"/>
    <col width="14" customWidth="1" min="7" max="7"/>
    <col width="46" customWidth="1" min="8" max="8"/>
    <col width="14" customWidth="1" min="9" max="9"/>
  </cols>
  <sheetData>
    <row r="1">
      <c r="A1" s="1" t="inlineStr">
        <is>
          <t>John Henry Investments — Coding Disclosure by Component (Subsystem)</t>
        </is>
      </c>
    </row>
    <row r="2">
      <c r="A2" s="2" t="inlineStr">
        <is>
          <t>Signature: 69M2705M  |  Realistic equivalent professional value of all coding performed  |  Rates = mid-market</t>
        </is>
      </c>
    </row>
    <row r="4">
      <c r="A4" s="3" t="inlineStr">
        <is>
          <t>Subsystem</t>
        </is>
      </c>
      <c r="B4" s="3" t="inlineStr">
        <is>
          <t>Work item / action</t>
        </is>
      </c>
      <c r="C4" s="3" t="inlineStr">
        <is>
          <t>Job title (skillset)</t>
        </is>
      </c>
      <c r="D4" s="3" t="inlineStr">
        <is>
          <t>Level</t>
        </is>
      </c>
      <c r="E4" s="3" t="inlineStr">
        <is>
          <t>Hourly rate (mid, $)</t>
        </is>
      </c>
      <c r="F4" s="3" t="inlineStr">
        <is>
          <t>Est. hours</t>
        </is>
      </c>
      <c r="G4" s="3" t="inlineStr">
        <is>
          <t>Value ($)</t>
        </is>
      </c>
      <c r="H4" s="3" t="inlineStr">
        <is>
          <t>Key files</t>
        </is>
      </c>
      <c r="I4" s="3" t="inlineStr">
        <is>
          <t>Status</t>
        </is>
      </c>
    </row>
    <row r="5">
      <c r="A5" s="4" t="inlineStr">
        <is>
          <t>Platform spine</t>
        </is>
      </c>
      <c r="B5" s="4" t="inlineStr">
        <is>
          <t>FastAPI app entry, router registration, CORS, /health &amp; /ready</t>
        </is>
      </c>
      <c r="C5" s="4" t="inlineStr">
        <is>
          <t>Backend Engineer</t>
        </is>
      </c>
      <c r="D5" s="4" t="inlineStr">
        <is>
          <t>Senior</t>
        </is>
      </c>
      <c r="E5" s="5" t="n">
        <v>140</v>
      </c>
      <c r="F5" s="4" t="n">
        <v>10</v>
      </c>
      <c r="G5" s="5">
        <f>E5*F5</f>
        <v/>
      </c>
      <c r="H5" s="4" t="inlineStr">
        <is>
          <t>backend/app/main.py</t>
        </is>
      </c>
      <c r="I5" s="4" t="inlineStr">
        <is>
          <t>Built</t>
        </is>
      </c>
    </row>
    <row r="6">
      <c r="A6" s="4" t="inlineStr">
        <is>
          <t>Platform spine</t>
        </is>
      </c>
      <c r="B6" s="4" t="inlineStr">
        <is>
          <t>Runtime settings + production fail-fast validation</t>
        </is>
      </c>
      <c r="C6" s="4" t="inlineStr">
        <is>
          <t>Backend Engineer</t>
        </is>
      </c>
      <c r="D6" s="4" t="inlineStr">
        <is>
          <t>Senior</t>
        </is>
      </c>
      <c r="E6" s="5" t="n">
        <v>140</v>
      </c>
      <c r="F6" s="4" t="n">
        <v>6</v>
      </c>
      <c r="G6" s="5">
        <f>E6*F6</f>
        <v/>
      </c>
      <c r="H6" s="4" t="inlineStr">
        <is>
          <t>backend/app/config.py</t>
        </is>
      </c>
      <c r="I6" s="4" t="inlineStr">
        <is>
          <t>Built</t>
        </is>
      </c>
    </row>
    <row r="7">
      <c r="A7" s="4" t="inlineStr">
        <is>
          <t>Platform spine</t>
        </is>
      </c>
      <c r="B7" s="4" t="inlineStr">
        <is>
          <t>Env-gated per-IP rate-limit middleware</t>
        </is>
      </c>
      <c r="C7" s="4" t="inlineStr">
        <is>
          <t>Backend Engineer</t>
        </is>
      </c>
      <c r="D7" s="4" t="inlineStr">
        <is>
          <t>Senior</t>
        </is>
      </c>
      <c r="E7" s="5" t="n">
        <v>140</v>
      </c>
      <c r="F7" s="4" t="n">
        <v>6</v>
      </c>
      <c r="G7" s="5">
        <f>E7*F7</f>
        <v/>
      </c>
      <c r="H7" s="4" t="inlineStr">
        <is>
          <t>backend/app/rate_limit.py</t>
        </is>
      </c>
      <c r="I7" s="4" t="inlineStr">
        <is>
          <t>Built</t>
        </is>
      </c>
    </row>
    <row r="8">
      <c r="A8" s="4" t="inlineStr">
        <is>
          <t>Platform spine</t>
        </is>
      </c>
      <c r="B8" s="4" t="inlineStr">
        <is>
          <t>DB engine/session, init_db + seeding</t>
        </is>
      </c>
      <c r="C8" s="4" t="inlineStr">
        <is>
          <t>Backend Engineer</t>
        </is>
      </c>
      <c r="D8" s="4" t="inlineStr">
        <is>
          <t>Senior</t>
        </is>
      </c>
      <c r="E8" s="5" t="n">
        <v>140</v>
      </c>
      <c r="F8" s="4" t="n">
        <v>10</v>
      </c>
      <c r="G8" s="5">
        <f>E8*F8</f>
        <v/>
      </c>
      <c r="H8" s="4" t="inlineStr">
        <is>
          <t>backend/app/database.py</t>
        </is>
      </c>
      <c r="I8" s="4" t="inlineStr">
        <is>
          <t>Built</t>
        </is>
      </c>
    </row>
    <row r="9">
      <c r="A9" s="4" t="inlineStr">
        <is>
          <t>Platform spine</t>
        </is>
      </c>
      <c r="B9" s="4" t="inlineStr">
        <is>
          <t>SQLAlchemy ORM models (all tables)</t>
        </is>
      </c>
      <c r="C9" s="4" t="inlineStr">
        <is>
          <t>Backend Engineer</t>
        </is>
      </c>
      <c r="D9" s="4" t="inlineStr">
        <is>
          <t>Senior</t>
        </is>
      </c>
      <c r="E9" s="5" t="n">
        <v>140</v>
      </c>
      <c r="F9" s="4" t="n">
        <v>20</v>
      </c>
      <c r="G9" s="5">
        <f>E9*F9</f>
        <v/>
      </c>
      <c r="H9" s="4" t="inlineStr">
        <is>
          <t>backend/app/db_models.py</t>
        </is>
      </c>
      <c r="I9" s="4" t="inlineStr">
        <is>
          <t>Built</t>
        </is>
      </c>
    </row>
    <row r="10">
      <c r="A10" s="4" t="inlineStr">
        <is>
          <t>Platform spine</t>
        </is>
      </c>
      <c r="B10" s="4" t="inlineStr">
        <is>
          <t>Auth dependencies (principal, require_admin)</t>
        </is>
      </c>
      <c r="C10" s="4" t="inlineStr">
        <is>
          <t>Backend Engineer</t>
        </is>
      </c>
      <c r="D10" s="4" t="inlineStr">
        <is>
          <t>Senior</t>
        </is>
      </c>
      <c r="E10" s="5" t="n">
        <v>140</v>
      </c>
      <c r="F10" s="4" t="n">
        <v>4</v>
      </c>
      <c r="G10" s="5">
        <f>E10*F10</f>
        <v/>
      </c>
      <c r="H10" s="4" t="inlineStr">
        <is>
          <t>backend/app/dependencies.py</t>
        </is>
      </c>
      <c r="I10" s="4" t="inlineStr">
        <is>
          <t>Built</t>
        </is>
      </c>
    </row>
    <row r="11">
      <c r="A11" s="4" t="inlineStr">
        <is>
          <t>Platform spine</t>
        </is>
      </c>
      <c r="B11" s="4" t="inlineStr">
        <is>
          <t>Shared Pydantic schemas (accounting/CRM/integration)</t>
        </is>
      </c>
      <c r="C11" s="4" t="inlineStr">
        <is>
          <t>Backend Engineer</t>
        </is>
      </c>
      <c r="D11" s="4" t="inlineStr">
        <is>
          <t>Mid</t>
        </is>
      </c>
      <c r="E11" s="5" t="n">
        <v>140</v>
      </c>
      <c r="F11" s="4" t="n">
        <v>12</v>
      </c>
      <c r="G11" s="5">
        <f>E11*F11</f>
        <v/>
      </c>
      <c r="H11" s="4" t="inlineStr">
        <is>
          <t>backend/app/models.py</t>
        </is>
      </c>
      <c r="I11" s="4" t="inlineStr">
        <is>
          <t>Built</t>
        </is>
      </c>
    </row>
    <row r="12">
      <c r="A12" s="4" t="inlineStr">
        <is>
          <t>Identity, Auth &amp; Security</t>
        </is>
      </c>
      <c r="B12" s="4" t="inlineStr">
        <is>
          <t>Crypto primitives: PBKDF2, JWT, scoped tokens, TOTP</t>
        </is>
      </c>
      <c r="C12" s="4" t="inlineStr">
        <is>
          <t>Security Engineer</t>
        </is>
      </c>
      <c r="D12" s="4" t="inlineStr">
        <is>
          <t>Senior</t>
        </is>
      </c>
      <c r="E12" s="5" t="n">
        <v>190</v>
      </c>
      <c r="F12" s="4" t="n">
        <v>18</v>
      </c>
      <c r="G12" s="5">
        <f>E12*F12</f>
        <v/>
      </c>
      <c r="H12" s="4" t="inlineStr">
        <is>
          <t>backend/app/security.py</t>
        </is>
      </c>
      <c r="I12" s="4" t="inlineStr">
        <is>
          <t>Built</t>
        </is>
      </c>
    </row>
    <row r="13">
      <c r="A13" s="4" t="inlineStr">
        <is>
          <t>Identity, Auth &amp; Security</t>
        </is>
      </c>
      <c r="B13" s="4" t="inlineStr">
        <is>
          <t>Web auth API + multi-tenant register/login/me</t>
        </is>
      </c>
      <c r="C13" s="4" t="inlineStr">
        <is>
          <t>Backend Engineer</t>
        </is>
      </c>
      <c r="D13" s="4" t="inlineStr">
        <is>
          <t>Senior</t>
        </is>
      </c>
      <c r="E13" s="5" t="n">
        <v>140</v>
      </c>
      <c r="F13" s="4" t="n">
        <v>24</v>
      </c>
      <c r="G13" s="5">
        <f>E13*F13</f>
        <v/>
      </c>
      <c r="H13" s="4" t="inlineStr">
        <is>
          <t>routers/auth.py, foundation_services.py</t>
        </is>
      </c>
      <c r="I13" s="4" t="inlineStr">
        <is>
          <t>Built</t>
        </is>
      </c>
    </row>
    <row r="14">
      <c r="A14" s="4" t="inlineStr">
        <is>
          <t>Identity, Auth &amp; Security</t>
        </is>
      </c>
      <c r="B14" s="4" t="inlineStr">
        <is>
          <t>Mobile multi-factor (TOTP + biometric) service + API</t>
        </is>
      </c>
      <c r="C14" s="4" t="inlineStr">
        <is>
          <t>Backend Engineer</t>
        </is>
      </c>
      <c r="D14" s="4" t="inlineStr">
        <is>
          <t>Senior</t>
        </is>
      </c>
      <c r="E14" s="5" t="n">
        <v>140</v>
      </c>
      <c r="F14" s="4" t="n">
        <v>28</v>
      </c>
      <c r="G14" s="5">
        <f>E14*F14</f>
        <v/>
      </c>
      <c r="H14" s="4" t="inlineStr">
        <is>
          <t>routers/mobile_auth.py, mobile_services.py</t>
        </is>
      </c>
      <c r="I14" s="4" t="inlineStr">
        <is>
          <t>Built</t>
        </is>
      </c>
    </row>
    <row r="15">
      <c r="A15" s="4" t="inlineStr">
        <is>
          <t>Identity, Auth &amp; Security</t>
        </is>
      </c>
      <c r="B15" s="4" t="inlineStr">
        <is>
          <t>Encrypt TOTP secret at rest (Fernet, backward-compat)</t>
        </is>
      </c>
      <c r="C15" s="4" t="inlineStr">
        <is>
          <t>Security Engineer</t>
        </is>
      </c>
      <c r="D15" s="4" t="inlineStr">
        <is>
          <t>Senior</t>
        </is>
      </c>
      <c r="E15" s="5" t="n">
        <v>190</v>
      </c>
      <c r="F15" s="4" t="n">
        <v>8</v>
      </c>
      <c r="G15" s="5">
        <f>E15*F15</f>
        <v/>
      </c>
      <c r="H15" s="4" t="inlineStr">
        <is>
          <t>backend/app/security.py</t>
        </is>
      </c>
      <c r="I15" s="4" t="inlineStr">
        <is>
          <t>Built (PR #17)</t>
        </is>
      </c>
    </row>
    <row r="16">
      <c r="A16" s="4" t="inlineStr">
        <is>
          <t>Identity, Auth &amp; Security</t>
        </is>
      </c>
      <c r="B16" s="4" t="inlineStr">
        <is>
          <t>Replace hand-rolled JWT with vetted PyJWT</t>
        </is>
      </c>
      <c r="C16" s="4" t="inlineStr">
        <is>
          <t>Security Engineer</t>
        </is>
      </c>
      <c r="D16" s="4" t="inlineStr">
        <is>
          <t>Senior</t>
        </is>
      </c>
      <c r="E16" s="5" t="n">
        <v>190</v>
      </c>
      <c r="F16" s="4" t="n">
        <v>6</v>
      </c>
      <c r="G16" s="5">
        <f>E16*F16</f>
        <v/>
      </c>
      <c r="H16" s="4" t="inlineStr">
        <is>
          <t>backend/app/security.py</t>
        </is>
      </c>
      <c r="I16" s="4" t="inlineStr">
        <is>
          <t>Built (PR #17)</t>
        </is>
      </c>
    </row>
    <row r="17">
      <c r="A17" s="4" t="inlineStr">
        <is>
          <t>Identity, Auth &amp; Security</t>
        </is>
      </c>
      <c r="B17" s="4" t="inlineStr">
        <is>
          <t>Real WebAuthn ES256 assertion verification</t>
        </is>
      </c>
      <c r="C17" s="4" t="inlineStr">
        <is>
          <t>Security Engineer</t>
        </is>
      </c>
      <c r="D17" s="4" t="inlineStr">
        <is>
          <t>Senior</t>
        </is>
      </c>
      <c r="E17" s="5" t="n">
        <v>190</v>
      </c>
      <c r="F17" s="4" t="n">
        <v>16</v>
      </c>
      <c r="G17" s="5">
        <f>E17*F17</f>
        <v/>
      </c>
      <c r="H17" s="4" t="inlineStr">
        <is>
          <t>backend/app/webauthn.py</t>
        </is>
      </c>
      <c r="I17" s="4" t="inlineStr">
        <is>
          <t>Built (PR #17)</t>
        </is>
      </c>
    </row>
    <row r="18">
      <c r="A18" s="4" t="inlineStr">
        <is>
          <t>Identity, Auth &amp; Security</t>
        </is>
      </c>
      <c r="B18" s="4" t="inlineStr">
        <is>
          <t>Mobile app UI: password/2FA/biometric flows</t>
        </is>
      </c>
      <c r="C18" s="4" t="inlineStr">
        <is>
          <t>Frontend Engineer</t>
        </is>
      </c>
      <c r="D18" s="4" t="inlineStr">
        <is>
          <t>Senior</t>
        </is>
      </c>
      <c r="E18" s="5" t="n">
        <v>120</v>
      </c>
      <c r="F18" s="4" t="n">
        <v>24</v>
      </c>
      <c r="G18" s="5">
        <f>E18*F18</f>
        <v/>
      </c>
      <c r="H18" s="4" t="inlineStr">
        <is>
          <t>src/app/mobile/page.tsx</t>
        </is>
      </c>
      <c r="I18" s="4" t="inlineStr">
        <is>
          <t>Built</t>
        </is>
      </c>
    </row>
    <row r="19">
      <c r="A19" s="4" t="inlineStr">
        <is>
          <t>Billing &amp; Subscriptions</t>
        </is>
      </c>
      <c r="B19" s="4" t="inlineStr">
        <is>
          <t>Billing API: plans, checkout, subscription, audit logs</t>
        </is>
      </c>
      <c r="C19" s="4" t="inlineStr">
        <is>
          <t>Backend Engineer</t>
        </is>
      </c>
      <c r="D19" s="4" t="inlineStr">
        <is>
          <t>Senior</t>
        </is>
      </c>
      <c r="E19" s="5" t="n">
        <v>140</v>
      </c>
      <c r="F19" s="4" t="n">
        <v>14</v>
      </c>
      <c r="G19" s="5">
        <f>E19*F19</f>
        <v/>
      </c>
      <c r="H19" s="4" t="inlineStr">
        <is>
          <t>routers/billing.py, foundation_services.py</t>
        </is>
      </c>
      <c r="I19" s="4" t="inlineStr">
        <is>
          <t>Built</t>
        </is>
      </c>
    </row>
    <row r="20">
      <c r="A20" s="4" t="inlineStr">
        <is>
          <t>Billing &amp; Subscriptions</t>
        </is>
      </c>
      <c r="B20" s="4" t="inlineStr">
        <is>
          <t>Stripe webhook signature verification + event mapping</t>
        </is>
      </c>
      <c r="C20" s="4" t="inlineStr">
        <is>
          <t>Security Engineer</t>
        </is>
      </c>
      <c r="D20" s="4" t="inlineStr">
        <is>
          <t>Senior</t>
        </is>
      </c>
      <c r="E20" s="5" t="n">
        <v>190</v>
      </c>
      <c r="F20" s="4" t="n">
        <v>8</v>
      </c>
      <c r="G20" s="5">
        <f>E20*F20</f>
        <v/>
      </c>
      <c r="H20" s="4" t="inlineStr">
        <is>
          <t>backend/app/billing_webhook.py</t>
        </is>
      </c>
      <c r="I20" s="4" t="inlineStr">
        <is>
          <t>Built (PR #17)</t>
        </is>
      </c>
    </row>
    <row r="21">
      <c r="A21" s="4" t="inlineStr">
        <is>
          <t>Billing &amp; Subscriptions</t>
        </is>
      </c>
      <c r="B21" s="4" t="inlineStr">
        <is>
          <t>Pricing + account UI</t>
        </is>
      </c>
      <c r="C21" s="4" t="inlineStr">
        <is>
          <t>Frontend Engineer</t>
        </is>
      </c>
      <c r="D21" s="4" t="inlineStr">
        <is>
          <t>Mid</t>
        </is>
      </c>
      <c r="E21" s="5" t="n">
        <v>120</v>
      </c>
      <c r="F21" s="4" t="n">
        <v>10</v>
      </c>
      <c r="G21" s="5">
        <f>E21*F21</f>
        <v/>
      </c>
      <c r="H21" s="4" t="inlineStr">
        <is>
          <t>src/app/{pricing,account}/page.tsx</t>
        </is>
      </c>
      <c r="I21" s="4" t="inlineStr">
        <is>
          <t>Built</t>
        </is>
      </c>
    </row>
    <row r="22">
      <c r="A22" s="4" t="inlineStr">
        <is>
          <t>Accounting &amp; Reporting</t>
        </is>
      </c>
      <c r="B22" s="4" t="inlineStr">
        <is>
          <t>Accounting service (DB): COA, journal entries, trial balance</t>
        </is>
      </c>
      <c r="C22" s="4" t="inlineStr">
        <is>
          <t>Backend Engineer</t>
        </is>
      </c>
      <c r="D22" s="4" t="inlineStr">
        <is>
          <t>Senior</t>
        </is>
      </c>
      <c r="E22" s="5" t="n">
        <v>140</v>
      </c>
      <c r="F22" s="4" t="n">
        <v>22</v>
      </c>
      <c r="G22" s="5">
        <f>E22*F22</f>
        <v/>
      </c>
      <c r="H22" s="4" t="inlineStr">
        <is>
          <t>accounting_services.py, routers/accounting.py</t>
        </is>
      </c>
      <c r="I22" s="4" t="inlineStr">
        <is>
          <t>Built</t>
        </is>
      </c>
    </row>
    <row r="23">
      <c r="A23" s="4" t="inlineStr">
        <is>
          <t>Accounting &amp; Reporting</t>
        </is>
      </c>
      <c r="B23" s="4" t="inlineStr">
        <is>
          <t>Reporting/dashboards service (DB): financial/audit/executive</t>
        </is>
      </c>
      <c r="C23" s="4" t="inlineStr">
        <is>
          <t>Backend Engineer</t>
        </is>
      </c>
      <c r="D23" s="4" t="inlineStr">
        <is>
          <t>Senior</t>
        </is>
      </c>
      <c r="E23" s="5" t="n">
        <v>140</v>
      </c>
      <c r="F23" s="4" t="n">
        <v>18</v>
      </c>
      <c r="G23" s="5">
        <f>E23*F23</f>
        <v/>
      </c>
      <c r="H23" s="4" t="inlineStr">
        <is>
          <t>reporting_services.py, routers/{reports,dashboards}.py</t>
        </is>
      </c>
      <c r="I23" s="4" t="inlineStr">
        <is>
          <t>Built</t>
        </is>
      </c>
    </row>
    <row r="24">
      <c r="A24" s="4" t="inlineStr">
        <is>
          <t>Accounting &amp; Reporting</t>
        </is>
      </c>
      <c r="B24" s="4" t="inlineStr">
        <is>
          <t>Reports UI</t>
        </is>
      </c>
      <c r="C24" s="4" t="inlineStr">
        <is>
          <t>Frontend Engineer</t>
        </is>
      </c>
      <c r="D24" s="4" t="inlineStr">
        <is>
          <t>Mid</t>
        </is>
      </c>
      <c r="E24" s="5" t="n">
        <v>120</v>
      </c>
      <c r="F24" s="4" t="n">
        <v>8</v>
      </c>
      <c r="G24" s="5">
        <f>E24*F24</f>
        <v/>
      </c>
      <c r="H24" s="4" t="inlineStr">
        <is>
          <t>src/app/reports/page.tsx</t>
        </is>
      </c>
      <c r="I24" s="4" t="inlineStr">
        <is>
          <t>Built</t>
        </is>
      </c>
    </row>
    <row r="25">
      <c r="A25" s="4" t="inlineStr">
        <is>
          <t>CRM</t>
        </is>
      </c>
      <c r="B25" s="4" t="inlineStr">
        <is>
          <t>CRM service (DB): contacts, deals, activities, summary</t>
        </is>
      </c>
      <c r="C25" s="4" t="inlineStr">
        <is>
          <t>Backend Engineer</t>
        </is>
      </c>
      <c r="D25" s="4" t="inlineStr">
        <is>
          <t>Senior</t>
        </is>
      </c>
      <c r="E25" s="5" t="n">
        <v>140</v>
      </c>
      <c r="F25" s="4" t="n">
        <v>16</v>
      </c>
      <c r="G25" s="5">
        <f>E25*F25</f>
        <v/>
      </c>
      <c r="H25" s="4" t="inlineStr">
        <is>
          <t>crm_services.py, routers/crm.py</t>
        </is>
      </c>
      <c r="I25" s="4" t="inlineStr">
        <is>
          <t>Built</t>
        </is>
      </c>
    </row>
    <row r="26">
      <c r="A26" s="4" t="inlineStr">
        <is>
          <t>Market Data</t>
        </is>
      </c>
      <c r="B26" s="4" t="inlineStr">
        <is>
          <t>Provider adapters + cache/failover (CoinGecko/Yahoo/BLS/FRED/TwelveData/Sharadar)</t>
        </is>
      </c>
      <c r="C26" s="4" t="inlineStr">
        <is>
          <t>Integration Engineer</t>
        </is>
      </c>
      <c r="D26" s="4" t="inlineStr">
        <is>
          <t>Senior</t>
        </is>
      </c>
      <c r="E26" s="5" t="n">
        <v>150</v>
      </c>
      <c r="F26" s="4" t="n">
        <v>30</v>
      </c>
      <c r="G26" s="5">
        <f>E26*F26</f>
        <v/>
      </c>
      <c r="H26" s="4" t="inlineStr">
        <is>
          <t>backend/app/market_services.py</t>
        </is>
      </c>
      <c r="I26" s="4" t="inlineStr">
        <is>
          <t>Built</t>
        </is>
      </c>
    </row>
    <row r="27">
      <c r="A27" s="4" t="inlineStr">
        <is>
          <t>Market Data</t>
        </is>
      </c>
      <c r="B27" s="4" t="inlineStr">
        <is>
          <t>Market API + models</t>
        </is>
      </c>
      <c r="C27" s="4" t="inlineStr">
        <is>
          <t>Backend Engineer</t>
        </is>
      </c>
      <c r="D27" s="4" t="inlineStr">
        <is>
          <t>Mid</t>
        </is>
      </c>
      <c r="E27" s="5" t="n">
        <v>140</v>
      </c>
      <c r="F27" s="4" t="n">
        <v>8</v>
      </c>
      <c r="G27" s="5">
        <f>E27*F27</f>
        <v/>
      </c>
      <c r="H27" s="4" t="inlineStr">
        <is>
          <t>routers/market.py, market_models.py</t>
        </is>
      </c>
      <c r="I27" s="4" t="inlineStr">
        <is>
          <t>Built</t>
        </is>
      </c>
    </row>
    <row r="28">
      <c r="A28" s="4" t="inlineStr">
        <is>
          <t>Market Data</t>
        </is>
      </c>
      <c r="B28" s="4" t="inlineStr">
        <is>
          <t>LiveMarket polling component + dashboard wiring</t>
        </is>
      </c>
      <c r="C28" s="4" t="inlineStr">
        <is>
          <t>Frontend Engineer</t>
        </is>
      </c>
      <c r="D28" s="4" t="inlineStr">
        <is>
          <t>Senior</t>
        </is>
      </c>
      <c r="E28" s="5" t="n">
        <v>120</v>
      </c>
      <c r="F28" s="4" t="n">
        <v>12</v>
      </c>
      <c r="G28" s="5">
        <f>E28*F28</f>
        <v/>
      </c>
      <c r="H28" s="4" t="inlineStr">
        <is>
          <t>src/components/live-market.tsx, src/app/dashboard/page.tsx</t>
        </is>
      </c>
      <c r="I28" s="4" t="inlineStr">
        <is>
          <t>Built</t>
        </is>
      </c>
    </row>
    <row r="29">
      <c r="A29" s="4" t="inlineStr">
        <is>
          <t>Research &amp; Opportunity Score</t>
        </is>
      </c>
      <c r="B29" s="4" t="inlineStr">
        <is>
          <t>Multi-factor Opportunity Score engine</t>
        </is>
      </c>
      <c r="C29" s="4" t="inlineStr">
        <is>
          <t>Data Scientist / Quant</t>
        </is>
      </c>
      <c r="D29" s="4" t="inlineStr">
        <is>
          <t>Senior</t>
        </is>
      </c>
      <c r="E29" s="5" t="n">
        <v>200</v>
      </c>
      <c r="F29" s="4" t="n">
        <v>28</v>
      </c>
      <c r="G29" s="5">
        <f>E29*F29</f>
        <v/>
      </c>
      <c r="H29" s="4" t="inlineStr">
        <is>
          <t>backend/app/opportunity_score.py</t>
        </is>
      </c>
      <c r="I29" s="4" t="inlineStr">
        <is>
          <t>Built</t>
        </is>
      </c>
    </row>
    <row r="30">
      <c r="A30" s="4" t="inlineStr">
        <is>
          <t>Research &amp; Opportunity Score</t>
        </is>
      </c>
      <c r="B30" s="4" t="inlineStr">
        <is>
          <t>Validation studies: backtests, adoption, acquisition, coverage</t>
        </is>
      </c>
      <c r="C30" s="4" t="inlineStr">
        <is>
          <t>Data Scientist / Quant</t>
        </is>
      </c>
      <c r="D30" s="4" t="inlineStr">
        <is>
          <t>Senior</t>
        </is>
      </c>
      <c r="E30" s="5" t="n">
        <v>200</v>
      </c>
      <c r="F30" s="4" t="n">
        <v>30</v>
      </c>
      <c r="G30" s="5">
        <f>E30*F30</f>
        <v/>
      </c>
      <c r="H30" s="4" t="inlineStr">
        <is>
          <t>backend/app/research_services.py</t>
        </is>
      </c>
      <c r="I30" s="4" t="inlineStr">
        <is>
          <t>Built</t>
        </is>
      </c>
    </row>
    <row r="31">
      <c r="A31" s="4" t="inlineStr">
        <is>
          <t>Research &amp; Opportunity Score</t>
        </is>
      </c>
      <c r="B31" s="4" t="inlineStr">
        <is>
          <t>Research API + models</t>
        </is>
      </c>
      <c r="C31" s="4" t="inlineStr">
        <is>
          <t>Backend Engineer</t>
        </is>
      </c>
      <c r="D31" s="4" t="inlineStr">
        <is>
          <t>Mid</t>
        </is>
      </c>
      <c r="E31" s="5" t="n">
        <v>140</v>
      </c>
      <c r="F31" s="4" t="n">
        <v>10</v>
      </c>
      <c r="G31" s="5">
        <f>E31*F31</f>
        <v/>
      </c>
      <c r="H31" s="4" t="inlineStr">
        <is>
          <t>routers/research.py, research_models.py</t>
        </is>
      </c>
      <c r="I31" s="4" t="inlineStr">
        <is>
          <t>Built</t>
        </is>
      </c>
    </row>
    <row r="32">
      <c r="A32" s="4" t="inlineStr">
        <is>
          <t>Research &amp; Opportunity Score</t>
        </is>
      </c>
      <c r="B32" s="4" t="inlineStr">
        <is>
          <t>Opportunities + assistant UI</t>
        </is>
      </c>
      <c r="C32" s="4" t="inlineStr">
        <is>
          <t>Frontend Engineer</t>
        </is>
      </c>
      <c r="D32" s="4" t="inlineStr">
        <is>
          <t>Mid</t>
        </is>
      </c>
      <c r="E32" s="5" t="n">
        <v>120</v>
      </c>
      <c r="F32" s="4" t="n">
        <v>12</v>
      </c>
      <c r="G32" s="5">
        <f>E32*F32</f>
        <v/>
      </c>
      <c r="H32" s="4" t="inlineStr">
        <is>
          <t>src/app/{opportunities,assistant}/page.tsx</t>
        </is>
      </c>
      <c r="I32" s="4" t="inlineStr">
        <is>
          <t>Built</t>
        </is>
      </c>
    </row>
    <row r="33">
      <c r="A33" s="4" t="inlineStr">
        <is>
          <t>Valuations</t>
        </is>
      </c>
      <c r="B33" s="4" t="inlineStr">
        <is>
          <t>Modeled real-time valuation engine (live inputs)</t>
        </is>
      </c>
      <c r="C33" s="4" t="inlineStr">
        <is>
          <t>Data Scientist / Quant</t>
        </is>
      </c>
      <c r="D33" s="4" t="inlineStr">
        <is>
          <t>Senior</t>
        </is>
      </c>
      <c r="E33" s="5" t="n">
        <v>200</v>
      </c>
      <c r="F33" s="4" t="n">
        <v>16</v>
      </c>
      <c r="G33" s="5">
        <f>E33*F33</f>
        <v/>
      </c>
      <c r="H33" s="4" t="inlineStr">
        <is>
          <t>backend/app/valuation_services.py</t>
        </is>
      </c>
      <c r="I33" s="4" t="inlineStr">
        <is>
          <t>Built</t>
        </is>
      </c>
    </row>
    <row r="34">
      <c r="A34" s="4" t="inlineStr">
        <is>
          <t>Valuations</t>
        </is>
      </c>
      <c r="B34" s="4" t="inlineStr">
        <is>
          <t>Valuation API + models</t>
        </is>
      </c>
      <c r="C34" s="4" t="inlineStr">
        <is>
          <t>Backend Engineer</t>
        </is>
      </c>
      <c r="D34" s="4" t="inlineStr">
        <is>
          <t>Mid</t>
        </is>
      </c>
      <c r="E34" s="5" t="n">
        <v>140</v>
      </c>
      <c r="F34" s="4" t="n">
        <v>6</v>
      </c>
      <c r="G34" s="5">
        <f>E34*F34</f>
        <v/>
      </c>
      <c r="H34" s="4" t="inlineStr">
        <is>
          <t>routers/valuations.py, valuation_models.py</t>
        </is>
      </c>
      <c r="I34" s="4" t="inlineStr">
        <is>
          <t>Built</t>
        </is>
      </c>
    </row>
    <row r="35">
      <c r="A35" s="4" t="inlineStr">
        <is>
          <t>Valuations</t>
        </is>
      </c>
      <c r="B35" s="4" t="inlineStr">
        <is>
          <t>Portfolio + due-diligence UI</t>
        </is>
      </c>
      <c r="C35" s="4" t="inlineStr">
        <is>
          <t>Frontend Engineer</t>
        </is>
      </c>
      <c r="D35" s="4" t="inlineStr">
        <is>
          <t>Mid</t>
        </is>
      </c>
      <c r="E35" s="5" t="n">
        <v>120</v>
      </c>
      <c r="F35" s="4" t="n">
        <v>12</v>
      </c>
      <c r="G35" s="5">
        <f>E35*F35</f>
        <v/>
      </c>
      <c r="H35" s="4" t="inlineStr">
        <is>
          <t>src/app/{portfolio,due-diligence}/page.tsx</t>
        </is>
      </c>
      <c r="I35" s="4" t="inlineStr">
        <is>
          <t>Built</t>
        </is>
      </c>
    </row>
    <row r="36">
      <c r="A36" s="4" t="inlineStr">
        <is>
          <t>Support &amp; AI Agents</t>
        </is>
      </c>
      <c r="B36" s="4" t="inlineStr">
        <is>
          <t>Support FAQ retrieval engine</t>
        </is>
      </c>
      <c r="C36" s="4" t="inlineStr">
        <is>
          <t>AI Engineer</t>
        </is>
      </c>
      <c r="D36" s="4" t="inlineStr">
        <is>
          <t>Senior</t>
        </is>
      </c>
      <c r="E36" s="5" t="n">
        <v>200</v>
      </c>
      <c r="F36" s="4" t="n">
        <v>14</v>
      </c>
      <c r="G36" s="5">
        <f>E36*F36</f>
        <v/>
      </c>
      <c r="H36" s="4" t="inlineStr">
        <is>
          <t>backend/app/support_services.py</t>
        </is>
      </c>
      <c r="I36" s="4" t="inlineStr">
        <is>
          <t>Built</t>
        </is>
      </c>
    </row>
    <row r="37">
      <c r="A37" s="4" t="inlineStr">
        <is>
          <t>Support &amp; AI Agents</t>
        </is>
      </c>
      <c r="B37" s="4" t="inlineStr">
        <is>
          <t>Five AI agents: routing, escalation, tickets</t>
        </is>
      </c>
      <c r="C37" s="4" t="inlineStr">
        <is>
          <t>AI Engineer</t>
        </is>
      </c>
      <c r="D37" s="4" t="inlineStr">
        <is>
          <t>Senior</t>
        </is>
      </c>
      <c r="E37" s="5" t="n">
        <v>200</v>
      </c>
      <c r="F37" s="4" t="n">
        <v>22</v>
      </c>
      <c r="G37" s="5">
        <f>E37*F37</f>
        <v/>
      </c>
      <c r="H37" s="4" t="inlineStr">
        <is>
          <t>backend/app/agents_services.py</t>
        </is>
      </c>
      <c r="I37" s="4" t="inlineStr">
        <is>
          <t>Built</t>
        </is>
      </c>
    </row>
    <row r="38">
      <c r="A38" s="4" t="inlineStr">
        <is>
          <t>Support &amp; AI Agents</t>
        </is>
      </c>
      <c r="B38" s="4" t="inlineStr">
        <is>
          <t>Support + team UI</t>
        </is>
      </c>
      <c r="C38" s="4" t="inlineStr">
        <is>
          <t>Frontend Engineer</t>
        </is>
      </c>
      <c r="D38" s="4" t="inlineStr">
        <is>
          <t>Mid</t>
        </is>
      </c>
      <c r="E38" s="5" t="n">
        <v>120</v>
      </c>
      <c r="F38" s="4" t="n">
        <v>12</v>
      </c>
      <c r="G38" s="5">
        <f>E38*F38</f>
        <v/>
      </c>
      <c r="H38" s="4" t="inlineStr">
        <is>
          <t>src/app/{support,team}/page.tsx</t>
        </is>
      </c>
      <c r="I38" s="4" t="inlineStr">
        <is>
          <t>Built</t>
        </is>
      </c>
    </row>
    <row r="39">
      <c r="A39" s="4" t="inlineStr">
        <is>
          <t>Growth / Leads</t>
        </is>
      </c>
      <c r="B39" s="4" t="inlineStr">
        <is>
          <t>Leads API: capture, dedupe, count + models</t>
        </is>
      </c>
      <c r="C39" s="4" t="inlineStr">
        <is>
          <t>Backend Engineer</t>
        </is>
      </c>
      <c r="D39" s="4" t="inlineStr">
        <is>
          <t>Mid</t>
        </is>
      </c>
      <c r="E39" s="5" t="n">
        <v>140</v>
      </c>
      <c r="F39" s="4" t="n">
        <v>8</v>
      </c>
      <c r="G39" s="5">
        <f>E39*F39</f>
        <v/>
      </c>
      <c r="H39" s="4" t="inlineStr">
        <is>
          <t>routers/leads.py, lead_models.py</t>
        </is>
      </c>
      <c r="I39" s="4" t="inlineStr">
        <is>
          <t>Built</t>
        </is>
      </c>
    </row>
    <row r="40">
      <c r="A40" s="4" t="inlineStr">
        <is>
          <t>Growth / Leads</t>
        </is>
      </c>
      <c r="B40" s="4" t="inlineStr">
        <is>
          <t>Waitlist form + landing/join UI</t>
        </is>
      </c>
      <c r="C40" s="4" t="inlineStr">
        <is>
          <t>Frontend Engineer</t>
        </is>
      </c>
      <c r="D40" s="4" t="inlineStr">
        <is>
          <t>Mid</t>
        </is>
      </c>
      <c r="E40" s="5" t="n">
        <v>120</v>
      </c>
      <c r="F40" s="4" t="n">
        <v>12</v>
      </c>
      <c r="G40" s="5">
        <f>E40*F40</f>
        <v/>
      </c>
      <c r="H40" s="4" t="inlineStr">
        <is>
          <t>src/components/waitlist-form.tsx, src/app/{join,page}.tsx</t>
        </is>
      </c>
      <c r="I40" s="4" t="inlineStr">
        <is>
          <t>Built</t>
        </is>
      </c>
    </row>
    <row r="41">
      <c r="A41" s="4" t="inlineStr">
        <is>
          <t>External Integrations</t>
        </is>
      </c>
      <c r="B41" s="4" t="inlineStr">
        <is>
          <t>Connectors, sync jobs, banking/vendor/Office endpoints</t>
        </is>
      </c>
      <c r="C41" s="4" t="inlineStr">
        <is>
          <t>Integration Engineer</t>
        </is>
      </c>
      <c r="D41" s="4" t="inlineStr">
        <is>
          <t>Senior</t>
        </is>
      </c>
      <c r="E41" s="5" t="n">
        <v>150</v>
      </c>
      <c r="F41" s="4" t="n">
        <v>24</v>
      </c>
      <c r="G41" s="5">
        <f>E41*F41</f>
        <v/>
      </c>
      <c r="H41" s="4" t="inlineStr">
        <is>
          <t>routers/integrations.py, services.py</t>
        </is>
      </c>
      <c r="I41" s="4" t="inlineStr">
        <is>
          <t>Prototype</t>
        </is>
      </c>
    </row>
    <row r="42">
      <c r="A42" s="4" t="inlineStr">
        <is>
          <t>Frontend shell</t>
        </is>
      </c>
      <c r="B42" s="4" t="inlineStr">
        <is>
          <t>App shell/nav/layout + logo + brand CSS system</t>
        </is>
      </c>
      <c r="C42" s="4" t="inlineStr">
        <is>
          <t>Frontend Engineer</t>
        </is>
      </c>
      <c r="D42" s="4" t="inlineStr">
        <is>
          <t>Senior</t>
        </is>
      </c>
      <c r="E42" s="5" t="n">
        <v>120</v>
      </c>
      <c r="F42" s="4" t="n">
        <v>20</v>
      </c>
      <c r="G42" s="5">
        <f>E42*F42</f>
        <v/>
      </c>
      <c r="H42" s="4" t="inlineStr">
        <is>
          <t>src/components/{platform-shell,logo}.tsx, src/app/{layout,globals.css}</t>
        </is>
      </c>
      <c r="I42" s="4" t="inlineStr">
        <is>
          <t>Built</t>
        </is>
      </c>
    </row>
    <row r="43">
      <c r="A43" s="4" t="inlineStr">
        <is>
          <t>Frontend shell</t>
        </is>
      </c>
      <c r="B43" s="4" t="inlineStr">
        <is>
          <t>UX &amp; behavioral-science color/brand system design</t>
        </is>
      </c>
      <c r="C43" s="4" t="inlineStr">
        <is>
          <t>UX / UI Designer</t>
        </is>
      </c>
      <c r="D43" s="4" t="inlineStr">
        <is>
          <t>Senior</t>
        </is>
      </c>
      <c r="E43" s="5" t="n">
        <v>120</v>
      </c>
      <c r="F43" s="4" t="n">
        <v>12</v>
      </c>
      <c r="G43" s="5">
        <f>E43*F43</f>
        <v/>
      </c>
      <c r="H43" s="4" t="inlineStr">
        <is>
          <t>docs/BRAND_AND_COLOR_SYSTEM.md, globals.css</t>
        </is>
      </c>
      <c r="I43" s="4" t="inlineStr">
        <is>
          <t>Built</t>
        </is>
      </c>
    </row>
    <row r="44">
      <c r="A44" s="4" t="inlineStr">
        <is>
          <t>Frontend shell</t>
        </is>
      </c>
      <c r="B44" s="4" t="inlineStr">
        <is>
          <t>Shared client data module</t>
        </is>
      </c>
      <c r="C44" s="4" t="inlineStr">
        <is>
          <t>Frontend Engineer</t>
        </is>
      </c>
      <c r="D44" s="4" t="inlineStr">
        <is>
          <t>Mid</t>
        </is>
      </c>
      <c r="E44" s="5" t="n">
        <v>120</v>
      </c>
      <c r="F44" s="4" t="n">
        <v>6</v>
      </c>
      <c r="G44" s="5">
        <f>E44*F44</f>
        <v/>
      </c>
      <c r="H44" s="4" t="inlineStr">
        <is>
          <t>src/lib/platform-data.ts</t>
        </is>
      </c>
      <c r="I44" s="4" t="inlineStr">
        <is>
          <t>Built</t>
        </is>
      </c>
    </row>
    <row r="45">
      <c r="A45" s="4" t="inlineStr">
        <is>
          <t>Quality Assurance</t>
        </is>
      </c>
      <c r="B45" s="4" t="inlineStr">
        <is>
          <t>Backend automated test suite (15 files, 110+ tests)</t>
        </is>
      </c>
      <c r="C45" s="4" t="inlineStr">
        <is>
          <t>QA Engineer</t>
        </is>
      </c>
      <c r="D45" s="4" t="inlineStr">
        <is>
          <t>Senior</t>
        </is>
      </c>
      <c r="E45" s="5" t="n">
        <v>95</v>
      </c>
      <c r="F45" s="4" t="n">
        <v>40</v>
      </c>
      <c r="G45" s="5">
        <f>E45*F45</f>
        <v/>
      </c>
      <c r="H45" s="4" t="inlineStr">
        <is>
          <t>backend/tests/*.py</t>
        </is>
      </c>
      <c r="I45" s="4" t="inlineStr">
        <is>
          <t>Built</t>
        </is>
      </c>
    </row>
    <row r="46">
      <c r="A46" s="4" t="inlineStr">
        <is>
          <t>Build &amp; Deploy</t>
        </is>
      </c>
      <c r="B46" s="4" t="inlineStr">
        <is>
          <t>Dockerfiles + compose + hardening + health probes</t>
        </is>
      </c>
      <c r="C46" s="4" t="inlineStr">
        <is>
          <t>DevOps / Cloud Engineer</t>
        </is>
      </c>
      <c r="D46" s="4" t="inlineStr">
        <is>
          <t>Senior</t>
        </is>
      </c>
      <c r="E46" s="5" t="n">
        <v>160</v>
      </c>
      <c r="F46" s="4" t="n">
        <v>16</v>
      </c>
      <c r="G46" s="5">
        <f>E46*F46</f>
        <v/>
      </c>
      <c r="H46" s="4" t="inlineStr">
        <is>
          <t>Dockerfile, backend/Dockerfile, docker-compose.yml</t>
        </is>
      </c>
      <c r="I46" s="4" t="inlineStr">
        <is>
          <t>Built</t>
        </is>
      </c>
    </row>
    <row r="47">
      <c r="A47" s="4" t="inlineStr">
        <is>
          <t>Build &amp; Deploy</t>
        </is>
      </c>
      <c r="B47" s="4" t="inlineStr">
        <is>
          <t>Production config validation + secrets wiring</t>
        </is>
      </c>
      <c r="C47" s="4" t="inlineStr">
        <is>
          <t>DevOps / Cloud Engineer</t>
        </is>
      </c>
      <c r="D47" s="4" t="inlineStr">
        <is>
          <t>Senior</t>
        </is>
      </c>
      <c r="E47" s="5" t="n">
        <v>160</v>
      </c>
      <c r="F47" s="4" t="n">
        <v>6</v>
      </c>
      <c r="G47" s="5">
        <f>E47*F47</f>
        <v/>
      </c>
      <c r="H47" s="4" t="inlineStr">
        <is>
          <t>config.py, .dockerignore</t>
        </is>
      </c>
      <c r="I47" s="4" t="inlineStr">
        <is>
          <t>Built</t>
        </is>
      </c>
    </row>
    <row r="48">
      <c r="A48" s="4" t="inlineStr">
        <is>
          <t>Architecture</t>
        </is>
      </c>
      <c r="B48" s="4" t="inlineStr">
        <is>
          <t>System architecture, integration &amp; code review</t>
        </is>
      </c>
      <c r="C48" s="4" t="inlineStr">
        <is>
          <t>Tech Lead / Architect</t>
        </is>
      </c>
      <c r="D48" s="4" t="inlineStr">
        <is>
          <t>Senior</t>
        </is>
      </c>
      <c r="E48" s="5" t="n">
        <v>180</v>
      </c>
      <c r="F48" s="4" t="n">
        <v>20</v>
      </c>
      <c r="G48" s="5">
        <f>E48*F48</f>
        <v/>
      </c>
      <c r="H48" s="4" t="inlineStr">
        <is>
          <t>whole platform</t>
        </is>
      </c>
      <c r="I48" s="4" t="inlineStr">
        <is>
          <t>Built</t>
        </is>
      </c>
    </row>
    <row r="49">
      <c r="A49" s="6" t="n"/>
      <c r="B49" s="6" t="n"/>
      <c r="C49" s="6" t="n"/>
      <c r="D49" s="6" t="inlineStr">
        <is>
          <t>TOTAL</t>
        </is>
      </c>
      <c r="E49" s="6" t="n"/>
      <c r="F49" s="6">
        <f>SUM(F5:F48)</f>
        <v/>
      </c>
      <c r="G49" s="7">
        <f>SUM(G5:G48)</f>
        <v/>
      </c>
      <c r="H49" s="6" t="n"/>
      <c r="I49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Realistic Hourly Rate Card by Job Title</t>
        </is>
      </c>
    </row>
    <row r="2">
      <c r="A2" s="2" t="inlineStr">
        <is>
          <t>Representative US contractor rates; anchored to docs/COMPENSATION_AND_PRO_SERVICES_PROJECTIONS.md</t>
        </is>
      </c>
    </row>
    <row r="4">
      <c r="A4" s="3" t="inlineStr">
        <is>
          <t>Job title (skillset)</t>
        </is>
      </c>
      <c r="B4" s="3" t="inlineStr">
        <is>
          <t>Typical level</t>
        </is>
      </c>
      <c r="C4" s="3" t="inlineStr">
        <is>
          <t>Low ($/hr)</t>
        </is>
      </c>
      <c r="D4" s="3" t="inlineStr">
        <is>
          <t>Mid ($/hr)</t>
        </is>
      </c>
      <c r="E4" s="3" t="inlineStr">
        <is>
          <t>High ($/hr)</t>
        </is>
      </c>
    </row>
    <row r="5">
      <c r="A5" s="8" t="inlineStr">
        <is>
          <t>Backend Engineer</t>
        </is>
      </c>
      <c r="B5" s="8" t="inlineStr">
        <is>
          <t>Mid–Senior</t>
        </is>
      </c>
      <c r="C5" s="9" t="n">
        <v>100</v>
      </c>
      <c r="D5" s="9" t="n">
        <v>140</v>
      </c>
      <c r="E5" s="9" t="n">
        <v>175</v>
      </c>
    </row>
    <row r="6">
      <c r="A6" s="8" t="inlineStr">
        <is>
          <t>Frontend Engineer</t>
        </is>
      </c>
      <c r="B6" s="8" t="inlineStr">
        <is>
          <t>Mid–Senior</t>
        </is>
      </c>
      <c r="C6" s="9" t="n">
        <v>85</v>
      </c>
      <c r="D6" s="9" t="n">
        <v>120</v>
      </c>
      <c r="E6" s="9" t="n">
        <v>150</v>
      </c>
    </row>
    <row r="7">
      <c r="A7" s="8" t="inlineStr">
        <is>
          <t>Security Engineer</t>
        </is>
      </c>
      <c r="B7" s="8" t="inlineStr">
        <is>
          <t>Senior</t>
        </is>
      </c>
      <c r="C7" s="9" t="n">
        <v>150</v>
      </c>
      <c r="D7" s="9" t="n">
        <v>190</v>
      </c>
      <c r="E7" s="9" t="n">
        <v>250</v>
      </c>
    </row>
    <row r="8">
      <c r="A8" s="8" t="inlineStr">
        <is>
          <t>Integration Engineer</t>
        </is>
      </c>
      <c r="B8" s="8" t="inlineStr">
        <is>
          <t>Senior</t>
        </is>
      </c>
      <c r="C8" s="9" t="n">
        <v>110</v>
      </c>
      <c r="D8" s="9" t="n">
        <v>150</v>
      </c>
      <c r="E8" s="9" t="n">
        <v>180</v>
      </c>
    </row>
    <row r="9">
      <c r="A9" s="8" t="inlineStr">
        <is>
          <t>AI Engineer</t>
        </is>
      </c>
      <c r="B9" s="8" t="inlineStr">
        <is>
          <t>Mid–Senior</t>
        </is>
      </c>
      <c r="C9" s="9" t="n">
        <v>150</v>
      </c>
      <c r="D9" s="9" t="n">
        <v>200</v>
      </c>
      <c r="E9" s="9" t="n">
        <v>350</v>
      </c>
    </row>
    <row r="10">
      <c r="A10" s="8" t="inlineStr">
        <is>
          <t>Data Scientist / Quant</t>
        </is>
      </c>
      <c r="B10" s="8" t="inlineStr">
        <is>
          <t>Mid–Senior</t>
        </is>
      </c>
      <c r="C10" s="9" t="n">
        <v>150</v>
      </c>
      <c r="D10" s="9" t="n">
        <v>200</v>
      </c>
      <c r="E10" s="9" t="n">
        <v>300</v>
      </c>
    </row>
    <row r="11">
      <c r="A11" s="8" t="inlineStr">
        <is>
          <t>DevOps / Cloud Engineer</t>
        </is>
      </c>
      <c r="B11" s="8" t="inlineStr">
        <is>
          <t>Mid–Senior</t>
        </is>
      </c>
      <c r="C11" s="9" t="n">
        <v>100</v>
      </c>
      <c r="D11" s="9" t="n">
        <v>160</v>
      </c>
      <c r="E11" s="9" t="n">
        <v>250</v>
      </c>
    </row>
    <row r="12">
      <c r="A12" s="8" t="inlineStr">
        <is>
          <t>QA Engineer</t>
        </is>
      </c>
      <c r="B12" s="8" t="inlineStr">
        <is>
          <t>Mid–Senior</t>
        </is>
      </c>
      <c r="C12" s="9" t="n">
        <v>60</v>
      </c>
      <c r="D12" s="9" t="n">
        <v>95</v>
      </c>
      <c r="E12" s="9" t="n">
        <v>120</v>
      </c>
    </row>
    <row r="13">
      <c r="A13" s="8" t="inlineStr">
        <is>
          <t>UX / UI Designer</t>
        </is>
      </c>
      <c r="B13" s="8" t="inlineStr">
        <is>
          <t>Mid–Senior</t>
        </is>
      </c>
      <c r="C13" s="9" t="n">
        <v>80</v>
      </c>
      <c r="D13" s="9" t="n">
        <v>120</v>
      </c>
      <c r="E13" s="9" t="n">
        <v>160</v>
      </c>
    </row>
    <row r="14">
      <c r="A14" s="8" t="inlineStr">
        <is>
          <t>Tech Lead / Architect</t>
        </is>
      </c>
      <c r="B14" s="8" t="inlineStr">
        <is>
          <t>Senior</t>
        </is>
      </c>
      <c r="C14" s="9" t="n">
        <v>150</v>
      </c>
      <c r="D14" s="9" t="n">
        <v>180</v>
      </c>
      <c r="E14" s="9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</cols>
  <sheetData>
    <row r="1">
      <c r="A1" s="1" t="inlineStr">
        <is>
          <t>Summary by Subsystem</t>
        </is>
      </c>
    </row>
    <row r="3">
      <c r="A3" s="3" t="inlineStr">
        <is>
          <t>Subsystem</t>
        </is>
      </c>
      <c r="B3" s="3" t="inlineStr">
        <is>
          <t>Est. hours</t>
        </is>
      </c>
      <c r="C3" s="3" t="inlineStr">
        <is>
          <t>Value ($)</t>
        </is>
      </c>
    </row>
    <row r="4">
      <c r="A4" s="8" t="inlineStr">
        <is>
          <t>Platform spine</t>
        </is>
      </c>
      <c r="B4" s="8">
        <f>SUMIF(Disclosure!$A$5:$A$48,A4,Disclosure!$F$5:$F$48)</f>
        <v/>
      </c>
      <c r="C4" s="9">
        <f>SUMIF(Disclosure!$A$5:$A$48,A4,Disclosure!$G$5:$G$48)</f>
        <v/>
      </c>
    </row>
    <row r="5">
      <c r="A5" s="8" t="inlineStr">
        <is>
          <t>Identity, Auth &amp; Security</t>
        </is>
      </c>
      <c r="B5" s="8">
        <f>SUMIF(Disclosure!$A$5:$A$48,A5,Disclosure!$F$5:$F$48)</f>
        <v/>
      </c>
      <c r="C5" s="9">
        <f>SUMIF(Disclosure!$A$5:$A$48,A5,Disclosure!$G$5:$G$48)</f>
        <v/>
      </c>
    </row>
    <row r="6">
      <c r="A6" s="8" t="inlineStr">
        <is>
          <t>Billing &amp; Subscriptions</t>
        </is>
      </c>
      <c r="B6" s="8">
        <f>SUMIF(Disclosure!$A$5:$A$48,A6,Disclosure!$F$5:$F$48)</f>
        <v/>
      </c>
      <c r="C6" s="9">
        <f>SUMIF(Disclosure!$A$5:$A$48,A6,Disclosure!$G$5:$G$48)</f>
        <v/>
      </c>
    </row>
    <row r="7">
      <c r="A7" s="8" t="inlineStr">
        <is>
          <t>Accounting &amp; Reporting</t>
        </is>
      </c>
      <c r="B7" s="8">
        <f>SUMIF(Disclosure!$A$5:$A$48,A7,Disclosure!$F$5:$F$48)</f>
        <v/>
      </c>
      <c r="C7" s="9">
        <f>SUMIF(Disclosure!$A$5:$A$48,A7,Disclosure!$G$5:$G$48)</f>
        <v/>
      </c>
    </row>
    <row r="8">
      <c r="A8" s="8" t="inlineStr">
        <is>
          <t>CRM</t>
        </is>
      </c>
      <c r="B8" s="8">
        <f>SUMIF(Disclosure!$A$5:$A$48,A8,Disclosure!$F$5:$F$48)</f>
        <v/>
      </c>
      <c r="C8" s="9">
        <f>SUMIF(Disclosure!$A$5:$A$48,A8,Disclosure!$G$5:$G$48)</f>
        <v/>
      </c>
    </row>
    <row r="9">
      <c r="A9" s="8" t="inlineStr">
        <is>
          <t>Market Data</t>
        </is>
      </c>
      <c r="B9" s="8">
        <f>SUMIF(Disclosure!$A$5:$A$48,A9,Disclosure!$F$5:$F$48)</f>
        <v/>
      </c>
      <c r="C9" s="9">
        <f>SUMIF(Disclosure!$A$5:$A$48,A9,Disclosure!$G$5:$G$48)</f>
        <v/>
      </c>
    </row>
    <row r="10">
      <c r="A10" s="8" t="inlineStr">
        <is>
          <t>Research &amp; Opportunity Score</t>
        </is>
      </c>
      <c r="B10" s="8">
        <f>SUMIF(Disclosure!$A$5:$A$48,A10,Disclosure!$F$5:$F$48)</f>
        <v/>
      </c>
      <c r="C10" s="9">
        <f>SUMIF(Disclosure!$A$5:$A$48,A10,Disclosure!$G$5:$G$48)</f>
        <v/>
      </c>
    </row>
    <row r="11">
      <c r="A11" s="8" t="inlineStr">
        <is>
          <t>Valuations</t>
        </is>
      </c>
      <c r="B11" s="8">
        <f>SUMIF(Disclosure!$A$5:$A$48,A11,Disclosure!$F$5:$F$48)</f>
        <v/>
      </c>
      <c r="C11" s="9">
        <f>SUMIF(Disclosure!$A$5:$A$48,A11,Disclosure!$G$5:$G$48)</f>
        <v/>
      </c>
    </row>
    <row r="12">
      <c r="A12" s="8" t="inlineStr">
        <is>
          <t>Support &amp; AI Agents</t>
        </is>
      </c>
      <c r="B12" s="8">
        <f>SUMIF(Disclosure!$A$5:$A$48,A12,Disclosure!$F$5:$F$48)</f>
        <v/>
      </c>
      <c r="C12" s="9">
        <f>SUMIF(Disclosure!$A$5:$A$48,A12,Disclosure!$G$5:$G$48)</f>
        <v/>
      </c>
    </row>
    <row r="13">
      <c r="A13" s="8" t="inlineStr">
        <is>
          <t>Growth / Leads</t>
        </is>
      </c>
      <c r="B13" s="8">
        <f>SUMIF(Disclosure!$A$5:$A$48,A13,Disclosure!$F$5:$F$48)</f>
        <v/>
      </c>
      <c r="C13" s="9">
        <f>SUMIF(Disclosure!$A$5:$A$48,A13,Disclosure!$G$5:$G$48)</f>
        <v/>
      </c>
    </row>
    <row r="14">
      <c r="A14" s="8" t="inlineStr">
        <is>
          <t>External Integrations</t>
        </is>
      </c>
      <c r="B14" s="8">
        <f>SUMIF(Disclosure!$A$5:$A$48,A14,Disclosure!$F$5:$F$48)</f>
        <v/>
      </c>
      <c r="C14" s="9">
        <f>SUMIF(Disclosure!$A$5:$A$48,A14,Disclosure!$G$5:$G$48)</f>
        <v/>
      </c>
    </row>
    <row r="15">
      <c r="A15" s="8" t="inlineStr">
        <is>
          <t>Frontend shell</t>
        </is>
      </c>
      <c r="B15" s="8">
        <f>SUMIF(Disclosure!$A$5:$A$48,A15,Disclosure!$F$5:$F$48)</f>
        <v/>
      </c>
      <c r="C15" s="9">
        <f>SUMIF(Disclosure!$A$5:$A$48,A15,Disclosure!$G$5:$G$48)</f>
        <v/>
      </c>
    </row>
    <row r="16">
      <c r="A16" s="8" t="inlineStr">
        <is>
          <t>Quality Assurance</t>
        </is>
      </c>
      <c r="B16" s="8">
        <f>SUMIF(Disclosure!$A$5:$A$48,A16,Disclosure!$F$5:$F$48)</f>
        <v/>
      </c>
      <c r="C16" s="9">
        <f>SUMIF(Disclosure!$A$5:$A$48,A16,Disclosure!$G$5:$G$48)</f>
        <v/>
      </c>
    </row>
    <row r="17">
      <c r="A17" s="8" t="inlineStr">
        <is>
          <t>Build &amp; Deploy</t>
        </is>
      </c>
      <c r="B17" s="8">
        <f>SUMIF(Disclosure!$A$5:$A$48,A17,Disclosure!$F$5:$F$48)</f>
        <v/>
      </c>
      <c r="C17" s="9">
        <f>SUMIF(Disclosure!$A$5:$A$48,A17,Disclosure!$G$5:$G$48)</f>
        <v/>
      </c>
    </row>
    <row r="18">
      <c r="A18" s="8" t="inlineStr">
        <is>
          <t>Architecture</t>
        </is>
      </c>
      <c r="B18" s="8">
        <f>SUMIF(Disclosure!$A$5:$A$48,A18,Disclosure!$F$5:$F$48)</f>
        <v/>
      </c>
      <c r="C18" s="9">
        <f>SUMIF(Disclosure!$A$5:$A$48,A18,Disclosure!$G$5:$G$48)</f>
        <v/>
      </c>
    </row>
    <row r="19">
      <c r="A19" s="6" t="inlineStr">
        <is>
          <t>TOTAL</t>
        </is>
      </c>
      <c r="B19" s="6">
        <f>SUM(B4:B18)</f>
        <v/>
      </c>
      <c r="C19" s="7">
        <f>SUM(C4:C18)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Summary by Job Title (skillset)</t>
        </is>
      </c>
    </row>
    <row r="3">
      <c r="A3" s="3" t="inlineStr">
        <is>
          <t>Job title (skillset)</t>
        </is>
      </c>
      <c r="B3" s="3" t="inlineStr">
        <is>
          <t>Actions</t>
        </is>
      </c>
      <c r="C3" s="3" t="inlineStr">
        <is>
          <t>Est. hours</t>
        </is>
      </c>
      <c r="D3" s="3" t="inlineStr">
        <is>
          <t>Value ($)</t>
        </is>
      </c>
      <c r="E3" s="3" t="inlineStr">
        <is>
          <t>Mid rate ($/hr)</t>
        </is>
      </c>
    </row>
    <row r="4">
      <c r="A4" s="8" t="inlineStr">
        <is>
          <t>Backend Engineer</t>
        </is>
      </c>
      <c r="B4" s="8">
        <f>COUNTIF(Disclosure!$C$5:$C$48,A4)</f>
        <v/>
      </c>
      <c r="C4" s="8">
        <f>SUMIF(Disclosure!$C$5:$C$48,A4,Disclosure!$F$5:$F$48)</f>
        <v/>
      </c>
      <c r="D4" s="9">
        <f>SUMIF(Disclosure!$C$5:$C$48,A4,Disclosure!$G$5:$G$48)</f>
        <v/>
      </c>
      <c r="E4" s="9" t="n">
        <v>140</v>
      </c>
    </row>
    <row r="5">
      <c r="A5" s="8" t="inlineStr">
        <is>
          <t>Security Engineer</t>
        </is>
      </c>
      <c r="B5" s="8">
        <f>COUNTIF(Disclosure!$C$5:$C$48,A5)</f>
        <v/>
      </c>
      <c r="C5" s="8">
        <f>SUMIF(Disclosure!$C$5:$C$48,A5,Disclosure!$F$5:$F$48)</f>
        <v/>
      </c>
      <c r="D5" s="9">
        <f>SUMIF(Disclosure!$C$5:$C$48,A5,Disclosure!$G$5:$G$48)</f>
        <v/>
      </c>
      <c r="E5" s="9" t="n">
        <v>190</v>
      </c>
    </row>
    <row r="6">
      <c r="A6" s="8" t="inlineStr">
        <is>
          <t>Frontend Engineer</t>
        </is>
      </c>
      <c r="B6" s="8">
        <f>COUNTIF(Disclosure!$C$5:$C$48,A6)</f>
        <v/>
      </c>
      <c r="C6" s="8">
        <f>SUMIF(Disclosure!$C$5:$C$48,A6,Disclosure!$F$5:$F$48)</f>
        <v/>
      </c>
      <c r="D6" s="9">
        <f>SUMIF(Disclosure!$C$5:$C$48,A6,Disclosure!$G$5:$G$48)</f>
        <v/>
      </c>
      <c r="E6" s="9" t="n">
        <v>120</v>
      </c>
    </row>
    <row r="7">
      <c r="A7" s="8" t="inlineStr">
        <is>
          <t>Integration Engineer</t>
        </is>
      </c>
      <c r="B7" s="8">
        <f>COUNTIF(Disclosure!$C$5:$C$48,A7)</f>
        <v/>
      </c>
      <c r="C7" s="8">
        <f>SUMIF(Disclosure!$C$5:$C$48,A7,Disclosure!$F$5:$F$48)</f>
        <v/>
      </c>
      <c r="D7" s="9">
        <f>SUMIF(Disclosure!$C$5:$C$48,A7,Disclosure!$G$5:$G$48)</f>
        <v/>
      </c>
      <c r="E7" s="9" t="n">
        <v>150</v>
      </c>
    </row>
    <row r="8">
      <c r="A8" s="8" t="inlineStr">
        <is>
          <t>Data Scientist / Quant</t>
        </is>
      </c>
      <c r="B8" s="8">
        <f>COUNTIF(Disclosure!$C$5:$C$48,A8)</f>
        <v/>
      </c>
      <c r="C8" s="8">
        <f>SUMIF(Disclosure!$C$5:$C$48,A8,Disclosure!$F$5:$F$48)</f>
        <v/>
      </c>
      <c r="D8" s="9">
        <f>SUMIF(Disclosure!$C$5:$C$48,A8,Disclosure!$G$5:$G$48)</f>
        <v/>
      </c>
      <c r="E8" s="9" t="n">
        <v>200</v>
      </c>
    </row>
    <row r="9">
      <c r="A9" s="8" t="inlineStr">
        <is>
          <t>AI Engineer</t>
        </is>
      </c>
      <c r="B9" s="8">
        <f>COUNTIF(Disclosure!$C$5:$C$48,A9)</f>
        <v/>
      </c>
      <c r="C9" s="8">
        <f>SUMIF(Disclosure!$C$5:$C$48,A9,Disclosure!$F$5:$F$48)</f>
        <v/>
      </c>
      <c r="D9" s="9">
        <f>SUMIF(Disclosure!$C$5:$C$48,A9,Disclosure!$G$5:$G$48)</f>
        <v/>
      </c>
      <c r="E9" s="9" t="n">
        <v>200</v>
      </c>
    </row>
    <row r="10">
      <c r="A10" s="8" t="inlineStr">
        <is>
          <t>UX / UI Designer</t>
        </is>
      </c>
      <c r="B10" s="8">
        <f>COUNTIF(Disclosure!$C$5:$C$48,A10)</f>
        <v/>
      </c>
      <c r="C10" s="8">
        <f>SUMIF(Disclosure!$C$5:$C$48,A10,Disclosure!$F$5:$F$48)</f>
        <v/>
      </c>
      <c r="D10" s="9">
        <f>SUMIF(Disclosure!$C$5:$C$48,A10,Disclosure!$G$5:$G$48)</f>
        <v/>
      </c>
      <c r="E10" s="9" t="n">
        <v>120</v>
      </c>
    </row>
    <row r="11">
      <c r="A11" s="8" t="inlineStr">
        <is>
          <t>QA Engineer</t>
        </is>
      </c>
      <c r="B11" s="8">
        <f>COUNTIF(Disclosure!$C$5:$C$48,A11)</f>
        <v/>
      </c>
      <c r="C11" s="8">
        <f>SUMIF(Disclosure!$C$5:$C$48,A11,Disclosure!$F$5:$F$48)</f>
        <v/>
      </c>
      <c r="D11" s="9">
        <f>SUMIF(Disclosure!$C$5:$C$48,A11,Disclosure!$G$5:$G$48)</f>
        <v/>
      </c>
      <c r="E11" s="9" t="n">
        <v>95</v>
      </c>
    </row>
    <row r="12">
      <c r="A12" s="8" t="inlineStr">
        <is>
          <t>DevOps / Cloud Engineer</t>
        </is>
      </c>
      <c r="B12" s="8">
        <f>COUNTIF(Disclosure!$C$5:$C$48,A12)</f>
        <v/>
      </c>
      <c r="C12" s="8">
        <f>SUMIF(Disclosure!$C$5:$C$48,A12,Disclosure!$F$5:$F$48)</f>
        <v/>
      </c>
      <c r="D12" s="9">
        <f>SUMIF(Disclosure!$C$5:$C$48,A12,Disclosure!$G$5:$G$48)</f>
        <v/>
      </c>
      <c r="E12" s="9" t="n">
        <v>160</v>
      </c>
    </row>
    <row r="13">
      <c r="A13" s="8" t="inlineStr">
        <is>
          <t>Tech Lead / Architect</t>
        </is>
      </c>
      <c r="B13" s="8">
        <f>COUNTIF(Disclosure!$C$5:$C$48,A13)</f>
        <v/>
      </c>
      <c r="C13" s="8">
        <f>SUMIF(Disclosure!$C$5:$C$48,A13,Disclosure!$F$5:$F$48)</f>
        <v/>
      </c>
      <c r="D13" s="9">
        <f>SUMIF(Disclosure!$C$5:$C$48,A13,Disclosure!$G$5:$G$48)</f>
        <v/>
      </c>
      <c r="E13" s="9" t="n">
        <v>180</v>
      </c>
    </row>
    <row r="14">
      <c r="A14" s="6" t="inlineStr">
        <is>
          <t>TOTAL</t>
        </is>
      </c>
      <c r="B14" s="6">
        <f>SUM(B4:B13)</f>
        <v/>
      </c>
      <c r="C14" s="6">
        <f>SUM(C4:C13)</f>
        <v/>
      </c>
      <c r="D14" s="7">
        <f>SUM(D4:D13)</f>
        <v/>
      </c>
      <c r="E1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Methodology &amp; Full Disclosure</t>
        </is>
      </c>
    </row>
    <row r="2">
      <c r="A2" t="inlineStr"/>
    </row>
    <row r="3">
      <c r="A3" t="inlineStr">
        <is>
          <t>Purpose: Full disclosure of all coding performed on the JHI platform, organized by</t>
        </is>
      </c>
    </row>
    <row r="4">
      <c r="A4" t="inlineStr">
        <is>
          <t>component (subsystem), mapped to the skillset / job title that would perform the work,</t>
        </is>
      </c>
    </row>
    <row r="5">
      <c r="A5" t="inlineStr">
        <is>
          <t>with a realistic hourly value per action and the estimated equivalent professional value.</t>
        </is>
      </c>
    </row>
    <row r="6">
      <c r="A6" t="inlineStr"/>
    </row>
    <row r="7">
      <c r="A7" t="inlineStr">
        <is>
          <t>Methodology:</t>
        </is>
      </c>
    </row>
    <row r="8">
      <c r="A8" t="inlineStr">
        <is>
          <t>- 'Est. hours' = good-faith estimate of equivalent professional effort to build the</t>
        </is>
      </c>
    </row>
    <row r="9">
      <c r="A9" t="inlineStr">
        <is>
          <t xml:space="preserve">  delivered code (not stopwatch time). The platform was built founder-led with AI</t>
        </is>
      </c>
    </row>
    <row r="10">
      <c r="A10" t="inlineStr">
        <is>
          <t xml:space="preserve">  assistance, which compresses calendar time; this workbook expresses the market-rate</t>
        </is>
      </c>
    </row>
    <row r="11">
      <c r="A11" t="inlineStr">
        <is>
          <t xml:space="preserve">  value of the equivalent professional work product.</t>
        </is>
      </c>
    </row>
    <row r="12">
      <c r="A12" t="inlineStr">
        <is>
          <t>- 'Hourly rate (mid)' = mid-market US contractor rate for that job title (see Rate Card).</t>
        </is>
      </c>
    </row>
    <row r="13">
      <c r="A13" t="inlineStr">
        <is>
          <t>- 'Value' = rate x hours (computed by formula).</t>
        </is>
      </c>
    </row>
    <row r="14">
      <c r="A14" t="inlineStr">
        <is>
          <t>- Job titles map to the skillset most appropriate to each action (see</t>
        </is>
      </c>
    </row>
    <row r="15">
      <c r="A15" t="inlineStr">
        <is>
          <t xml:space="preserve">  docs/JOB_DESCRIPTIONS_AND_STAFFING_REQUIREMENTS.md).</t>
        </is>
      </c>
    </row>
    <row r="16">
      <c r="A16" t="inlineStr"/>
    </row>
    <row r="17">
      <c r="A17" t="inlineStr">
        <is>
          <t>Rate anchors: docs/COMPENSATION_AND_PRO_SERVICES_PROJECTIONS.md</t>
        </is>
      </c>
    </row>
    <row r="18">
      <c r="A18" t="inlineStr">
        <is>
          <t xml:space="preserve">  (e.g., DevOps $100-$250/hr; AI/data $150-$350/hr; counsel $300-$1,200/hr).</t>
        </is>
      </c>
    </row>
    <row r="19">
      <c r="A19" t="inlineStr"/>
    </row>
    <row r="20">
      <c r="A20" t="inlineStr">
        <is>
          <t>Scope: application source code across all subsystems plus tests and DevOps. Items marked</t>
        </is>
      </c>
    </row>
    <row r="21">
      <c r="A21" t="inlineStr">
        <is>
          <t>'(PR #17)' are the security-hardening additions; 'Prototype' = partial/not production-grade.</t>
        </is>
      </c>
    </row>
    <row r="22">
      <c r="A22" t="inlineStr"/>
    </row>
    <row r="23">
      <c r="A23" t="inlineStr">
        <is>
          <t>DISCLAIMER: This is a planning / disclosure artifact. It is NOT an invoice, an audited</t>
        </is>
      </c>
    </row>
    <row r="24">
      <c r="A24" t="inlineStr">
        <is>
          <t>record, a payroll document, or tax/accounting/legal advice. Actual cost-to-build or</t>
        </is>
      </c>
    </row>
    <row r="25">
      <c r="A25" t="inlineStr">
        <is>
          <t>fair value depends on geography, hiring market, scope, and engagement model. Confirm</t>
        </is>
      </c>
    </row>
    <row r="26">
      <c r="A26" t="inlineStr">
        <is>
          <t>with a CPA/controller before using for capitalization, valuation, or tax purposes.</t>
        </is>
      </c>
    </row>
    <row r="27">
      <c r="A27" t="inlineStr"/>
    </row>
    <row r="28">
      <c r="A28" t="inlineStr">
        <is>
          <t>Founder signature: 69M2705M  |  John Henry Investments (proprietary)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2026-06-28T19:40:35Z</dcterms:created>
  <dcterms:modified xsi:type="dcterms:W3CDTF">2026-06-28T19:40:35Z</dcterms:modified>
</cp:coreProperties>
</file>