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perating Model" sheetId="2" r:id="rId2"/>
    <sheet name="DCF" sheetId="3" r:id="rId3"/>
    <sheet name="Marketing" sheetId="4" r:id="rId4"/>
    <sheet name="Personnel" sheetId="5" r:id="rId5"/>
  </sheets>
  <calcPr calcId="124519" fullCalcOnLoad="1"/>
</workbook>
</file>

<file path=xl/sharedStrings.xml><?xml version="1.0" encoding="utf-8"?>
<sst xmlns="http://schemas.openxmlformats.org/spreadsheetml/2006/main" count="62" uniqueCount="31">
  <si>
    <t>John Henry Investments Financial Model</t>
  </si>
  <si>
    <t>Metric</t>
  </si>
  <si>
    <t>Year 1</t>
  </si>
  <si>
    <t>Year 2</t>
  </si>
  <si>
    <t>Year 3</t>
  </si>
  <si>
    <t>Year 4</t>
  </si>
  <si>
    <t>Year 5</t>
  </si>
  <si>
    <t>Users</t>
  </si>
  <si>
    <t>Revenue</t>
  </si>
  <si>
    <t>Total operating expenses</t>
  </si>
  <si>
    <t>EBITDA</t>
  </si>
  <si>
    <t>Free cash flow</t>
  </si>
  <si>
    <t>Year</t>
  </si>
  <si>
    <t>Platform ops</t>
  </si>
  <si>
    <t>Staffing/pro services</t>
  </si>
  <si>
    <t>Legal/compliance</t>
  </si>
  <si>
    <t>Marketing</t>
  </si>
  <si>
    <t>Payment processing</t>
  </si>
  <si>
    <t>Total opex</t>
  </si>
  <si>
    <t>EBITDA margin</t>
  </si>
  <si>
    <t>Value</t>
  </si>
  <si>
    <t>Discount rate</t>
  </si>
  <si>
    <t>Terminal growth</t>
  </si>
  <si>
    <t>Terminal value</t>
  </si>
  <si>
    <t>PV terminal value</t>
  </si>
  <si>
    <t>Estimated enterprise value</t>
  </si>
  <si>
    <t>Marketing spend</t>
  </si>
  <si>
    <t>New users</t>
  </si>
  <si>
    <t>Blended CAC</t>
  </si>
  <si>
    <t>Headcount low</t>
  </si>
  <si>
    <t>Headcount high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</si>
</sst>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#,##0"/>
    <numFmt numFmtId="166" formatCode="0.0%"/>
  </numFmts>
  <fonts count="3">
    <font>
      <sz val="11"/>
      <color theme="1"/>
      <name val="Calibri"/>
      <family val="2"/>
      <scheme val="minor"/>
    </font>
    <font>
      <b/>
      <sz val="16"/>
      <color rgb="FF0B1B2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1B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Projection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Summary!$B$3:$F$3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Summary!$B$4:$F$4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15000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EBITDA Projection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EBITDA</c:v>
          </c:tx>
          <c:marker>
            <c:symbol val="none"/>
          </c:marker>
          <c:cat>
            <c:strRef>
              <c:f>Summary!$B$3:$F$3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Summary!$B$6:$F$6</c:f>
              <c:numCache>
                <c:formatCode>General</c:formatCode>
                <c:ptCount val="5"/>
                <c:pt idx="0">
                  <c:v>1384093</c:v>
                </c:pt>
                <c:pt idx="1">
                  <c:v>3710466</c:v>
                </c:pt>
                <c:pt idx="2">
                  <c:v>9451398</c:v>
                </c:pt>
                <c:pt idx="3">
                  <c:v>34604660</c:v>
                </c:pt>
                <c:pt idx="4">
                  <c:v>80409320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914400</xdr:colOff>
      <xdr:row>25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16</xdr:col>
      <xdr:colOff>228600</xdr:colOff>
      <xdr:row>25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8.7109375" customWidth="1"/>
    <col min="2" max="6" width="16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1000</v>
      </c>
      <c r="C4" s="3">
        <v>5000</v>
      </c>
      <c r="D4" s="3">
        <v>15000</v>
      </c>
      <c r="E4" s="3">
        <v>50000</v>
      </c>
      <c r="F4" s="3">
        <v>100000</v>
      </c>
    </row>
    <row r="5" spans="1:6">
      <c r="A5" t="s">
        <v>8</v>
      </c>
      <c r="B5" s="3">
        <v>1336440</v>
      </c>
      <c r="C5" s="3">
        <v>6682200</v>
      </c>
      <c r="D5" s="3">
        <v>20046600</v>
      </c>
      <c r="E5" s="3">
        <v>66822000</v>
      </c>
      <c r="F5" s="3">
        <v>133644000</v>
      </c>
    </row>
    <row r="6" spans="1:6">
      <c r="A6" t="s">
        <v>9</v>
      </c>
      <c r="B6" s="3">
        <v>1384093</v>
      </c>
      <c r="C6" s="3">
        <v>3710466</v>
      </c>
      <c r="D6" s="3">
        <v>9451398</v>
      </c>
      <c r="E6" s="3">
        <v>34604660</v>
      </c>
      <c r="F6" s="3">
        <v>80409320</v>
      </c>
    </row>
    <row r="7" spans="1:6">
      <c r="A7" t="s">
        <v>10</v>
      </c>
      <c r="B7" s="3">
        <v>-47653</v>
      </c>
      <c r="C7" s="3">
        <v>2971734</v>
      </c>
      <c r="D7" s="3">
        <v>10595202</v>
      </c>
      <c r="E7" s="3">
        <v>32217340</v>
      </c>
      <c r="F7" s="3">
        <v>53234680</v>
      </c>
    </row>
    <row r="8" spans="1:6">
      <c r="A8" t="s">
        <v>11</v>
      </c>
      <c r="B8" s="3">
        <v>-141204</v>
      </c>
      <c r="C8" s="3">
        <v>1906645</v>
      </c>
      <c r="D8" s="3">
        <v>7100592</v>
      </c>
      <c r="E8" s="3">
        <v>21175091</v>
      </c>
      <c r="F8" s="3">
        <v>34036757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1" width="18.7109375" customWidth="1"/>
  </cols>
  <sheetData>
    <row r="1" spans="1:11">
      <c r="A1" s="2" t="s">
        <v>12</v>
      </c>
      <c r="B1" s="2" t="s">
        <v>7</v>
      </c>
      <c r="C1" s="2" t="s">
        <v>8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10</v>
      </c>
      <c r="K1" s="2" t="s">
        <v>19</v>
      </c>
    </row>
    <row r="2" spans="1:11">
      <c r="A2" t="s">
        <v>2</v>
      </c>
      <c r="B2" s="3">
        <v>1000</v>
      </c>
      <c r="C2" s="4">
        <v>1336440</v>
      </c>
      <c r="D2" s="4">
        <v>120000</v>
      </c>
      <c r="E2" s="4">
        <v>960000</v>
      </c>
      <c r="F2" s="4">
        <v>84000</v>
      </c>
      <c r="G2" s="4">
        <v>180000</v>
      </c>
      <c r="H2" s="4">
        <v>40093</v>
      </c>
      <c r="I2" s="4">
        <v>1384093</v>
      </c>
      <c r="J2" s="4">
        <v>-47653</v>
      </c>
      <c r="K2" s="5">
        <v>-0.03565666995899554</v>
      </c>
    </row>
    <row r="3" spans="1:11">
      <c r="A3" t="s">
        <v>3</v>
      </c>
      <c r="B3" s="3">
        <v>5000</v>
      </c>
      <c r="C3" s="4">
        <v>6682200</v>
      </c>
      <c r="D3" s="4">
        <v>480000</v>
      </c>
      <c r="E3" s="4">
        <v>2100000</v>
      </c>
      <c r="F3" s="4">
        <v>180000</v>
      </c>
      <c r="G3" s="4">
        <v>750000</v>
      </c>
      <c r="H3" s="4">
        <v>200466</v>
      </c>
      <c r="I3" s="4">
        <v>3710466</v>
      </c>
      <c r="J3" s="4">
        <v>2971734</v>
      </c>
      <c r="K3" s="5">
        <v>0.4447238933285445</v>
      </c>
    </row>
    <row r="4" spans="1:11">
      <c r="A4" t="s">
        <v>4</v>
      </c>
      <c r="B4" s="3">
        <v>15000</v>
      </c>
      <c r="C4" s="4">
        <v>20046600</v>
      </c>
      <c r="D4" s="4">
        <v>1200000</v>
      </c>
      <c r="E4" s="4">
        <v>4800000</v>
      </c>
      <c r="F4" s="4">
        <v>600000</v>
      </c>
      <c r="G4" s="4">
        <v>2250000</v>
      </c>
      <c r="H4" s="4">
        <v>601398</v>
      </c>
      <c r="I4" s="4">
        <v>9451398</v>
      </c>
      <c r="J4" s="4">
        <v>10595202</v>
      </c>
      <c r="K4" s="5">
        <v>0.5285286282960702</v>
      </c>
    </row>
    <row r="5" spans="1:11">
      <c r="A5" t="s">
        <v>5</v>
      </c>
      <c r="B5" s="3">
        <v>50000</v>
      </c>
      <c r="C5" s="4">
        <v>66822000</v>
      </c>
      <c r="D5" s="4">
        <v>4800000</v>
      </c>
      <c r="E5" s="4">
        <v>18000000</v>
      </c>
      <c r="F5" s="4">
        <v>1800000</v>
      </c>
      <c r="G5" s="4">
        <v>8000000</v>
      </c>
      <c r="H5" s="4">
        <v>2004660</v>
      </c>
      <c r="I5" s="4">
        <v>34604660</v>
      </c>
      <c r="J5" s="4">
        <v>32217340</v>
      </c>
      <c r="K5" s="5">
        <v>0.482136721439047</v>
      </c>
    </row>
    <row r="6" spans="1:11">
      <c r="A6" t="s">
        <v>6</v>
      </c>
      <c r="B6" s="3">
        <v>100000</v>
      </c>
      <c r="C6" s="4">
        <v>133644000</v>
      </c>
      <c r="D6" s="4">
        <v>11400000</v>
      </c>
      <c r="E6" s="4">
        <v>45600000</v>
      </c>
      <c r="F6" s="4">
        <v>5400000</v>
      </c>
      <c r="G6" s="4">
        <v>14000000</v>
      </c>
      <c r="H6" s="4">
        <v>4009320</v>
      </c>
      <c r="I6" s="4">
        <v>80409320</v>
      </c>
      <c r="J6" s="4">
        <v>53234680</v>
      </c>
      <c r="K6" s="5">
        <v>0.3983319864715213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4" width="22.7109375" customWidth="1"/>
  </cols>
  <sheetData>
    <row r="1" spans="1:4">
      <c r="A1" s="2" t="s">
        <v>1</v>
      </c>
      <c r="B1" s="2" t="s">
        <v>20</v>
      </c>
    </row>
    <row r="2" spans="1:4">
      <c r="A2" t="s">
        <v>21</v>
      </c>
      <c r="B2" s="4">
        <v>0.18</v>
      </c>
    </row>
    <row r="3" spans="1:4">
      <c r="A3" t="s">
        <v>22</v>
      </c>
      <c r="B3" s="4">
        <v>0.03</v>
      </c>
    </row>
    <row r="4" spans="1:4">
      <c r="A4" t="s">
        <v>23</v>
      </c>
      <c r="B4" s="4">
        <v>233719066</v>
      </c>
    </row>
    <row r="5" spans="1:4">
      <c r="A5" t="s">
        <v>24</v>
      </c>
      <c r="B5" s="4">
        <v>102160758</v>
      </c>
    </row>
    <row r="6" spans="1:4">
      <c r="A6" t="s">
        <v>25</v>
      </c>
      <c r="B6" s="4">
        <v>133531712</v>
      </c>
    </row>
    <row r="9" spans="1:4">
      <c r="A9" s="2" t="s">
        <v>12</v>
      </c>
      <c r="B9" s="2" t="s">
        <v>8</v>
      </c>
      <c r="C9" s="2" t="s">
        <v>10</v>
      </c>
      <c r="D9" s="2" t="s">
        <v>11</v>
      </c>
    </row>
    <row r="10" spans="1:4">
      <c r="A10" t="s">
        <v>2</v>
      </c>
      <c r="B10" s="4">
        <v>1336440</v>
      </c>
      <c r="C10" s="4">
        <v>-47653</v>
      </c>
      <c r="D10" s="4">
        <v>-141204</v>
      </c>
    </row>
    <row r="11" spans="1:4">
      <c r="A11" t="s">
        <v>3</v>
      </c>
      <c r="B11" s="4">
        <v>6682200</v>
      </c>
      <c r="C11" s="4">
        <v>2971734</v>
      </c>
      <c r="D11" s="4">
        <v>1906645</v>
      </c>
    </row>
    <row r="12" spans="1:4">
      <c r="A12" t="s">
        <v>4</v>
      </c>
      <c r="B12" s="4">
        <v>20046600</v>
      </c>
      <c r="C12" s="4">
        <v>10595202</v>
      </c>
      <c r="D12" s="4">
        <v>7100592</v>
      </c>
    </row>
    <row r="13" spans="1:4">
      <c r="A13" t="s">
        <v>5</v>
      </c>
      <c r="B13" s="4">
        <v>66822000</v>
      </c>
      <c r="C13" s="4">
        <v>32217340</v>
      </c>
      <c r="D13" s="4">
        <v>21175091</v>
      </c>
    </row>
    <row r="14" spans="1:4">
      <c r="A14" t="s">
        <v>6</v>
      </c>
      <c r="B14" s="4">
        <v>133644000</v>
      </c>
      <c r="C14" s="4">
        <v>53234680</v>
      </c>
      <c r="D14" s="4">
        <v>34036757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8.7109375" customWidth="1"/>
  </cols>
  <sheetData>
    <row r="1" spans="1:4">
      <c r="A1" s="2" t="s">
        <v>12</v>
      </c>
      <c r="B1" s="2" t="s">
        <v>26</v>
      </c>
      <c r="C1" s="2" t="s">
        <v>27</v>
      </c>
      <c r="D1" s="2" t="s">
        <v>28</v>
      </c>
    </row>
    <row r="2" spans="1:4">
      <c r="A2" t="s">
        <v>2</v>
      </c>
      <c r="B2" s="4">
        <v>180000</v>
      </c>
      <c r="C2" s="3">
        <v>1000</v>
      </c>
      <c r="D2" s="4">
        <v>180</v>
      </c>
    </row>
    <row r="3" spans="1:4">
      <c r="A3" t="s">
        <v>3</v>
      </c>
      <c r="B3" s="4">
        <v>750000</v>
      </c>
      <c r="C3" s="3">
        <v>4000</v>
      </c>
      <c r="D3" s="4">
        <v>187.5</v>
      </c>
    </row>
    <row r="4" spans="1:4">
      <c r="A4" t="s">
        <v>4</v>
      </c>
      <c r="B4" s="4">
        <v>2250000</v>
      </c>
      <c r="C4" s="3">
        <v>10000</v>
      </c>
      <c r="D4" s="4">
        <v>225</v>
      </c>
    </row>
    <row r="5" spans="1:4">
      <c r="A5" t="s">
        <v>5</v>
      </c>
      <c r="B5" s="4">
        <v>8000000</v>
      </c>
      <c r="C5" s="3">
        <v>35000</v>
      </c>
      <c r="D5" s="4">
        <v>228.57</v>
      </c>
    </row>
    <row r="6" spans="1:4">
      <c r="A6" t="s">
        <v>6</v>
      </c>
      <c r="B6" s="4">
        <v>14000000</v>
      </c>
      <c r="C6" s="3">
        <v>50000</v>
      </c>
      <c r="D6" s="4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22.7109375" customWidth="1"/>
  </cols>
  <sheetData>
    <row r="1" spans="1:4">
      <c r="A1" s="2" t="s">
        <v>12</v>
      </c>
      <c r="B1" s="2" t="s">
        <v>29</v>
      </c>
      <c r="C1" s="2" t="s">
        <v>30</v>
      </c>
      <c r="D1" s="2" t="s">
        <v>14</v>
      </c>
    </row>
    <row r="2" spans="1:4">
      <c r="A2" t="s">
        <v>2</v>
      </c>
      <c r="B2" s="3">
        <v>3</v>
      </c>
      <c r="C2" s="3">
        <v>7</v>
      </c>
      <c r="D2" s="4">
        <v>960000</v>
      </c>
    </row>
    <row r="3" spans="1:4">
      <c r="A3" t="s">
        <v>3</v>
      </c>
      <c r="B3" s="3">
        <v>8</v>
      </c>
      <c r="C3" s="3">
        <v>15</v>
      </c>
      <c r="D3" s="4">
        <v>2100000</v>
      </c>
    </row>
    <row r="4" spans="1:4">
      <c r="A4" t="s">
        <v>4</v>
      </c>
      <c r="B4" s="3">
        <v>20</v>
      </c>
      <c r="C4" s="3">
        <v>45</v>
      </c>
      <c r="D4" s="4">
        <v>4800000</v>
      </c>
    </row>
    <row r="5" spans="1:4">
      <c r="A5" t="s">
        <v>5</v>
      </c>
      <c r="B5" s="3">
        <v>75</v>
      </c>
      <c r="C5" s="3">
        <v>160</v>
      </c>
      <c r="D5" s="4">
        <v>18000000</v>
      </c>
    </row>
    <row r="6" spans="1:4">
      <c r="A6" t="s">
        <v>6</v>
      </c>
      <c r="B6" s="3">
        <v>150</v>
      </c>
      <c r="C6" s="3">
        <v>350</v>
      </c>
      <c r="D6" s="4">
        <v>45600000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Operating Model</vt:lpstr>
      <vt:lpstr>DCF</vt:lpstr>
      <vt:lpstr>Marketing</vt:lpstr>
      <vt:lpstr>Personnel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2026-06-23T05:05:15Z</dcterms:created>
  <dcterms:modified xsi:type="dcterms:W3CDTF">2026-06-23T05:05:15Z</dcterms:modified>
</cp:coreProperties>
</file>